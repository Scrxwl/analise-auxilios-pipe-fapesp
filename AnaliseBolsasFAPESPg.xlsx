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1. Áreas e Subáreas" sheetId="2" r:id="rId6"/>
    <sheet state="visible" name="2. Cidades" sheetId="3" r:id="rId7"/>
    <sheet state="visible" name="3. Ribeirão Preto" sheetId="4" r:id="rId8"/>
    <sheet state="visible" name="4.Crescimento por Área " sheetId="5" r:id="rId9"/>
  </sheets>
  <definedNames>
    <definedName hidden="1" localSheetId="3" name="Z_A0035FD2_6548_470F_8FD6_64CFFEB4B31A_.wvu.FilterData">'3. Ribeirão Preto'!$A$2:$F$196</definedName>
  </definedNames>
  <calcPr/>
  <customWorkbookViews>
    <customWorkbookView activeSheetId="0" maximized="1" windowHeight="0" windowWidth="0" guid="{A0035FD2-6548-470F-8FD6-64CFFEB4B31A}" name="Tabela4 filter view"/>
  </customWorkbookViews>
</workbook>
</file>

<file path=xl/sharedStrings.xml><?xml version="1.0" encoding="utf-8"?>
<sst xmlns="http://schemas.openxmlformats.org/spreadsheetml/2006/main" count="1488" uniqueCount="559">
  <si>
    <t>Quantidade de Empresas por Área do Conhecimento</t>
  </si>
  <si>
    <t>Quantidade de Empresas por Cidade</t>
  </si>
  <si>
    <t>Quantidade de Empresa(s)</t>
  </si>
  <si>
    <t>Ciência da Computação</t>
  </si>
  <si>
    <t>Engenharia Elétrica</t>
  </si>
  <si>
    <t>Engenharia de Materiais e Metalúrgica</t>
  </si>
  <si>
    <t>Química</t>
  </si>
  <si>
    <t>Agronomia</t>
  </si>
  <si>
    <t>Cidade</t>
  </si>
  <si>
    <t>Engenharia Biomédica</t>
  </si>
  <si>
    <t>Engenharia Mecânica</t>
  </si>
  <si>
    <t>Microbiologia</t>
  </si>
  <si>
    <t>Engenharia Química</t>
  </si>
  <si>
    <t>São Paulo</t>
  </si>
  <si>
    <t>Farmácia</t>
  </si>
  <si>
    <t>Campinas</t>
  </si>
  <si>
    <t>Medicina</t>
  </si>
  <si>
    <t>Ciência e Tecnologia de Alimentos</t>
  </si>
  <si>
    <t>São Carlos</t>
  </si>
  <si>
    <t>Bioquímica</t>
  </si>
  <si>
    <t>São José dos Campos</t>
  </si>
  <si>
    <t>Engenharia Agrícola</t>
  </si>
  <si>
    <t>Engenharia Aeroespacial</t>
  </si>
  <si>
    <t>Ribeirão Preto</t>
  </si>
  <si>
    <t>Medicina Veterinária</t>
  </si>
  <si>
    <t>Piracicaba</t>
  </si>
  <si>
    <t>Zootecnia</t>
  </si>
  <si>
    <t>Engenharia de Produção</t>
  </si>
  <si>
    <t>Sorocaba</t>
  </si>
  <si>
    <t>Genética</t>
  </si>
  <si>
    <t>Botucatu</t>
  </si>
  <si>
    <t>Física</t>
  </si>
  <si>
    <t>Recursos Pesqueiros e Engenharia de Pesca</t>
  </si>
  <si>
    <t>Araraquara</t>
  </si>
  <si>
    <t>Geociências</t>
  </si>
  <si>
    <t>Recursos Florestais e Engenharia Florestal</t>
  </si>
  <si>
    <t>São José do Rio Preto</t>
  </si>
  <si>
    <t>Engenharia Sanitária</t>
  </si>
  <si>
    <t>São Caetano do Sul</t>
  </si>
  <si>
    <t>Saúde Coletiva</t>
  </si>
  <si>
    <t>Empresas no Projeto PIPE em Ribeirão Preto</t>
  </si>
  <si>
    <t>Biologia Geral</t>
  </si>
  <si>
    <t>Jaboticabal</t>
  </si>
  <si>
    <t>Odontologia</t>
  </si>
  <si>
    <t>São Bernardo do Campo</t>
  </si>
  <si>
    <t>Engenharia Civil</t>
  </si>
  <si>
    <t>Educação</t>
  </si>
  <si>
    <t>Mogi das Cruzes</t>
  </si>
  <si>
    <t>Ecologia</t>
  </si>
  <si>
    <t>Santana de Parnaíba</t>
  </si>
  <si>
    <t>Imunologia</t>
  </si>
  <si>
    <t>Administração</t>
  </si>
  <si>
    <t>Cotia</t>
  </si>
  <si>
    <t>Engenharia de Transportes</t>
  </si>
  <si>
    <t>Farmacologia</t>
  </si>
  <si>
    <t>Santo André</t>
  </si>
  <si>
    <t>Botânica</t>
  </si>
  <si>
    <t>Pirassununga</t>
  </si>
  <si>
    <t>Biofísica</t>
  </si>
  <si>
    <t>Arquitetura e Urbanismo</t>
  </si>
  <si>
    <t>Valinhos</t>
  </si>
  <si>
    <t>Engenharia Nuclear</t>
  </si>
  <si>
    <t>Economia</t>
  </si>
  <si>
    <t>Limeira</t>
  </si>
  <si>
    <t>Zoologia</t>
  </si>
  <si>
    <t>Indaiatuba</t>
  </si>
  <si>
    <t>Fisioterapia e Terapia Ocupacional</t>
  </si>
  <si>
    <t>Engenharia de Minas</t>
  </si>
  <si>
    <t>Empresa</t>
  </si>
  <si>
    <t>Jundiaí</t>
  </si>
  <si>
    <t>Engenharia Naval e Oceânica</t>
  </si>
  <si>
    <t>Paulínia</t>
  </si>
  <si>
    <t>Oceanografia</t>
  </si>
  <si>
    <t>Nutrição</t>
  </si>
  <si>
    <t>Rio Claro</t>
  </si>
  <si>
    <t>Desenho Industrial</t>
  </si>
  <si>
    <t>Artes</t>
  </si>
  <si>
    <t>Santos</t>
  </si>
  <si>
    <t>Matemática</t>
  </si>
  <si>
    <t>Barueri</t>
  </si>
  <si>
    <t>Educação Física</t>
  </si>
  <si>
    <t>Probabilidade e Estatística</t>
  </si>
  <si>
    <t>Cajamar</t>
  </si>
  <si>
    <t>Planejamento Urbano e Regional</t>
  </si>
  <si>
    <t>Cravinhos</t>
  </si>
  <si>
    <t>Enfermagem</t>
  </si>
  <si>
    <t>Parasitologia</t>
  </si>
  <si>
    <t>Santa Bárbara D'Oeste</t>
  </si>
  <si>
    <t>Fonoaudiologia</t>
  </si>
  <si>
    <t>Linguística</t>
  </si>
  <si>
    <t>Araras</t>
  </si>
  <si>
    <t>Morfologia</t>
  </si>
  <si>
    <t>Modalidade de apoio</t>
  </si>
  <si>
    <t>Bauru</t>
  </si>
  <si>
    <t>Museologia</t>
  </si>
  <si>
    <t>Psicologia</t>
  </si>
  <si>
    <t>Holambra</t>
  </si>
  <si>
    <t>Comunicação</t>
  </si>
  <si>
    <t>Ciência da Informação</t>
  </si>
  <si>
    <t>Grande Área do Conhecimento</t>
  </si>
  <si>
    <t>Mogi Guaçu</t>
  </si>
  <si>
    <t>Turismo</t>
  </si>
  <si>
    <t>Ciência Política</t>
  </si>
  <si>
    <t>Vinhedo</t>
  </si>
  <si>
    <t>Sertãozinho</t>
  </si>
  <si>
    <t>Quantidade de Empresas por Subárea do Conhecimento</t>
  </si>
  <si>
    <t>Área do Conhecimento</t>
  </si>
  <si>
    <t>Itu</t>
  </si>
  <si>
    <t>Cajobi</t>
  </si>
  <si>
    <t>Data de Início</t>
  </si>
  <si>
    <t>Subárea do Conhecimento</t>
  </si>
  <si>
    <t>Barretos</t>
  </si>
  <si>
    <t>Administração de Empresas</t>
  </si>
  <si>
    <t>Araçatuba</t>
  </si>
  <si>
    <t>Administração de Setores Específicos</t>
  </si>
  <si>
    <t>Rafard</t>
  </si>
  <si>
    <t>Administração Pública</t>
  </si>
  <si>
    <t>Agrometeorologia</t>
  </si>
  <si>
    <t>Data de Término</t>
  </si>
  <si>
    <t>Mogi Mirim</t>
  </si>
  <si>
    <t>Ciência do Solo</t>
  </si>
  <si>
    <t>Guarulhos</t>
  </si>
  <si>
    <t>Fitossanidade</t>
  </si>
  <si>
    <t>Fitotecnia</t>
  </si>
  <si>
    <t>Franca</t>
  </si>
  <si>
    <t>Actinobac Agrosciences Pesquisa e Desenvolvimento Ltda</t>
  </si>
  <si>
    <t>Floricultura, Parques e Jardins</t>
  </si>
  <si>
    <t>Marília</t>
  </si>
  <si>
    <t>Fundamentos de Arquitetura e Urbanismo</t>
  </si>
  <si>
    <t>Taubaté</t>
  </si>
  <si>
    <t>Projeto de Arquitetura e Urbanismo</t>
  </si>
  <si>
    <t>Tecnologia de Arquitetura e Urbanismo</t>
  </si>
  <si>
    <t>Presidente Prudente</t>
  </si>
  <si>
    <t>Artes do Vídeo</t>
  </si>
  <si>
    <t>Jacareí</t>
  </si>
  <si>
    <t>Artes Plásticas</t>
  </si>
  <si>
    <t>Teatro</t>
  </si>
  <si>
    <t>Engenheiro Coelho</t>
  </si>
  <si>
    <t>Diadema</t>
  </si>
  <si>
    <t>Auxílio à Pesquisa - Pesquisa Inovativa em Pequenas Empresas - PIPE</t>
  </si>
  <si>
    <t>Bragança Paulista</t>
  </si>
  <si>
    <t>Biofísica de Processos e Sistemas</t>
  </si>
  <si>
    <t>Biofísica Molecular</t>
  </si>
  <si>
    <t>Osasco</t>
  </si>
  <si>
    <t>Radiologia e Fotobiologia</t>
  </si>
  <si>
    <t>Manaus</t>
  </si>
  <si>
    <t>Biologia Molecular</t>
  </si>
  <si>
    <t>Ciências Exatas e da Terra</t>
  </si>
  <si>
    <t>Votuporanga</t>
  </si>
  <si>
    <t>Bioquímica de Microorganismos</t>
  </si>
  <si>
    <t>Amparo</t>
  </si>
  <si>
    <t>São Roque</t>
  </si>
  <si>
    <t>Enzimologia</t>
  </si>
  <si>
    <t>Jaguariúna</t>
  </si>
  <si>
    <t>Metabolismo e Bioenergética</t>
  </si>
  <si>
    <t>Hortolândia</t>
  </si>
  <si>
    <t>Americana</t>
  </si>
  <si>
    <t>Química de Macromoléculas</t>
  </si>
  <si>
    <t>Mococa</t>
  </si>
  <si>
    <t>Botânica Aplicada</t>
  </si>
  <si>
    <t>Matão</t>
  </si>
  <si>
    <t>Santo Antônio de Posse</t>
  </si>
  <si>
    <t>Fisiologia Vegetal</t>
  </si>
  <si>
    <t>Catanduva</t>
  </si>
  <si>
    <t>Morfologia Vegetal</t>
  </si>
  <si>
    <t>Registro</t>
  </si>
  <si>
    <t>Descalvado</t>
  </si>
  <si>
    <t>Taxonomia Vegetal</t>
  </si>
  <si>
    <t>Ribeirão Pires</t>
  </si>
  <si>
    <t>Matemática da Computação</t>
  </si>
  <si>
    <t>Suzano</t>
  </si>
  <si>
    <t>Metodologia e Técnicas da Computação</t>
  </si>
  <si>
    <t>Capivari</t>
  </si>
  <si>
    <t>Assis</t>
  </si>
  <si>
    <t>Sistemas de Computação</t>
  </si>
  <si>
    <t>Ilha Solteira</t>
  </si>
  <si>
    <t>Araçoiaba da Serra</t>
  </si>
  <si>
    <t>Arquivologia</t>
  </si>
  <si>
    <t>Pindamonhangaba</t>
  </si>
  <si>
    <t>Ciência de Alimentos</t>
  </si>
  <si>
    <t>Itapetininga</t>
  </si>
  <si>
    <t>Rio das Pedras</t>
  </si>
  <si>
    <t>Engenharia de Alimentos</t>
  </si>
  <si>
    <t>Itapira</t>
  </si>
  <si>
    <t>Tecnologia de Alimentos</t>
  </si>
  <si>
    <t>Sumaré</t>
  </si>
  <si>
    <t>Itatiba</t>
  </si>
  <si>
    <t>Políticas Públicas</t>
  </si>
  <si>
    <t>Piracaia</t>
  </si>
  <si>
    <t>Jornalismo e Editoração</t>
  </si>
  <si>
    <t>Guararema</t>
  </si>
  <si>
    <t>Relações Públicas e Propaganda</t>
  </si>
  <si>
    <t>Ferraz de Vasconcelos</t>
  </si>
  <si>
    <t>Adiel Comercial Ltda</t>
  </si>
  <si>
    <t>Desenho de Produto</t>
  </si>
  <si>
    <t>Jambeiro</t>
  </si>
  <si>
    <t>Ecologia Aplicada</t>
  </si>
  <si>
    <t>Riolândia</t>
  </si>
  <si>
    <t>Adamantina</t>
  </si>
  <si>
    <t>Ecologia de Ecossistemas</t>
  </si>
  <si>
    <t>Serrana</t>
  </si>
  <si>
    <t>Economia do Bem-estar Social</t>
  </si>
  <si>
    <t>Engenharias</t>
  </si>
  <si>
    <t>Atibaia</t>
  </si>
  <si>
    <t>Taboão da Serra</t>
  </si>
  <si>
    <t>Economia dos Recursos Humanos</t>
  </si>
  <si>
    <t>Orlândia</t>
  </si>
  <si>
    <t>Economia Internacional</t>
  </si>
  <si>
    <t>Poá</t>
  </si>
  <si>
    <t>Economia Monetária e Fiscal</t>
  </si>
  <si>
    <t>Cerquilho</t>
  </si>
  <si>
    <t>São Vicente</t>
  </si>
  <si>
    <t>Economias Agrária e dos Recursos Naturais</t>
  </si>
  <si>
    <t xml:space="preserve">        Análise de Auxílios PIPE - FAPESP</t>
  </si>
  <si>
    <t>São Joaquim da Barra</t>
  </si>
  <si>
    <t>Métodos Quantitativos em Economia</t>
  </si>
  <si>
    <t>Birigüi</t>
  </si>
  <si>
    <t>Ensino-aprendizagem</t>
  </si>
  <si>
    <t>Arujá</t>
  </si>
  <si>
    <t>Lorena</t>
  </si>
  <si>
    <t>Adriana Ferreira Lopes Vilela</t>
  </si>
  <si>
    <t>Tópicos Específicos de Educação</t>
  </si>
  <si>
    <t>Charqueada</t>
  </si>
  <si>
    <t>Enfermagem de Saúde Pública</t>
  </si>
  <si>
    <t>Mauá</t>
  </si>
  <si>
    <t>Dois Córregos</t>
  </si>
  <si>
    <t>Enfermagem Obstétrica</t>
  </si>
  <si>
    <t>Araçariguama</t>
  </si>
  <si>
    <t>Aerodinâmica</t>
  </si>
  <si>
    <t>Jaú</t>
  </si>
  <si>
    <t>Brotas</t>
  </si>
  <si>
    <t>Dinâmica de Vôo</t>
  </si>
  <si>
    <t>Carapicuíba</t>
  </si>
  <si>
    <t>Estruturas Aeroespaciais</t>
  </si>
  <si>
    <t>Monte Aprazível</t>
  </si>
  <si>
    <t>Materiais e Processos para Engenharia Aeronáutica, Aeroespacial</t>
  </si>
  <si>
    <t>Jarinu</t>
  </si>
  <si>
    <t>Paraibuna</t>
  </si>
  <si>
    <t>Propulsão Aeroespacial</t>
  </si>
  <si>
    <t>Ariranha</t>
  </si>
  <si>
    <t>Sistemas Aeroespaciais</t>
  </si>
  <si>
    <t>Patrocínio Paulista</t>
  </si>
  <si>
    <t>Artur Nogueira</t>
  </si>
  <si>
    <t>Construções Rurais e Ambiência</t>
  </si>
  <si>
    <t>Agrobee Soluções em Polinização e Sustentabilidade Ltda</t>
  </si>
  <si>
    <t>Itupeva</t>
  </si>
  <si>
    <t>Garça</t>
  </si>
  <si>
    <t>Pindorama</t>
  </si>
  <si>
    <t>Serra</t>
  </si>
  <si>
    <t>Energização Rural</t>
  </si>
  <si>
    <t>Alumínio</t>
  </si>
  <si>
    <t>Ciências Agrárias</t>
  </si>
  <si>
    <t>Engenharia de Água e Solo</t>
  </si>
  <si>
    <t>Socorro</t>
  </si>
  <si>
    <t>Engenharia de Processamento de Produtos Agrícolas</t>
  </si>
  <si>
    <t>Rio de Janeiro</t>
  </si>
  <si>
    <t>Taquaral</t>
  </si>
  <si>
    <t>Máquinas e Implementos Agrícolas</t>
  </si>
  <si>
    <t>Jandira</t>
  </si>
  <si>
    <t>Campo Limpo Paulista</t>
  </si>
  <si>
    <t>Bioengenharia</t>
  </si>
  <si>
    <t>Caieiras</t>
  </si>
  <si>
    <t>Engenharia Médica</t>
  </si>
  <si>
    <t>Juquiá</t>
  </si>
  <si>
    <t>Alambari</t>
  </si>
  <si>
    <t>Construção Civil</t>
  </si>
  <si>
    <t>Cajati</t>
  </si>
  <si>
    <t>Engenharia Hidráulica</t>
  </si>
  <si>
    <t>Batatais</t>
  </si>
  <si>
    <t>Estruturas</t>
  </si>
  <si>
    <t>Guapiaçu</t>
  </si>
  <si>
    <t>Geotécnica</t>
  </si>
  <si>
    <t>Álgebra</t>
  </si>
  <si>
    <t>Instalações e Equipamentos Metalúrgicos</t>
  </si>
  <si>
    <t>Materiais Não-metálicos</t>
  </si>
  <si>
    <t>São Miguel Arcanjo</t>
  </si>
  <si>
    <t>Metalurgia de Transformação</t>
  </si>
  <si>
    <t>Itapecerica da Serra</t>
  </si>
  <si>
    <t>Vitória</t>
  </si>
  <si>
    <t>Metalurgia Extrativa</t>
  </si>
  <si>
    <t>Ciências da Saúde</t>
  </si>
  <si>
    <t>Vista Alegre do Alto</t>
  </si>
  <si>
    <t>Metalurgia Física</t>
  </si>
  <si>
    <t>Espírito Santo do Pinhal</t>
  </si>
  <si>
    <t>Porto Feliz</t>
  </si>
  <si>
    <t>Lavra</t>
  </si>
  <si>
    <t>Américo de Campos</t>
  </si>
  <si>
    <t>Pesquisa Mineral</t>
  </si>
  <si>
    <t>Praia Grande</t>
  </si>
  <si>
    <t>Tratamento de Minérios</t>
  </si>
  <si>
    <t>São Luiz do Paraitinga</t>
  </si>
  <si>
    <t>Cajuru</t>
  </si>
  <si>
    <t>Engenharia do Produto</t>
  </si>
  <si>
    <t>Angatuba</t>
  </si>
  <si>
    <t>Engenharia Econômica</t>
  </si>
  <si>
    <t>Gerência de Produção</t>
  </si>
  <si>
    <t>Itirapuã</t>
  </si>
  <si>
    <t>Pedreira</t>
  </si>
  <si>
    <t>Pesquisa Operacional</t>
  </si>
  <si>
    <t xml:space="preserve">                                                                                                                              Visão dos projetos iniciados entre 2021 e 2025</t>
  </si>
  <si>
    <t>Rancharia</t>
  </si>
  <si>
    <t>Operações de Transportes</t>
  </si>
  <si>
    <t>Bertioga</t>
  </si>
  <si>
    <t>Guzolândia</t>
  </si>
  <si>
    <t>Planejamento de Transportes</t>
  </si>
  <si>
    <t>Tarumã</t>
  </si>
  <si>
    <t>Veículos e Equipamentos de Controle</t>
  </si>
  <si>
    <t>Avaré</t>
  </si>
  <si>
    <t>Circuitos Elétricos, Magnéticos e Eletrônicos</t>
  </si>
  <si>
    <t>Ubatuba</t>
  </si>
  <si>
    <t>Vargem Grande do Sul</t>
  </si>
  <si>
    <t>Eletrônica Industrial, Sistemas e Controles Eletrônicos</t>
  </si>
  <si>
    <t>São João da Boa Vista</t>
  </si>
  <si>
    <t>Materiais Elétricos</t>
  </si>
  <si>
    <t>Votorantim</t>
  </si>
  <si>
    <t>Medidas Elétricas, Magnéticas e Eletrônicas, Instrumentação</t>
  </si>
  <si>
    <t>Ilhabela</t>
  </si>
  <si>
    <t>Itararé</t>
  </si>
  <si>
    <t>Sistemas Elétricos de Potência</t>
  </si>
  <si>
    <t>São Lourenço da Serra</t>
  </si>
  <si>
    <t>Telecomunicações</t>
  </si>
  <si>
    <t>Lençóis Paulista</t>
  </si>
  <si>
    <t>Engenharia Térmica</t>
  </si>
  <si>
    <t>São Manuel</t>
  </si>
  <si>
    <t>Brodowski</t>
  </si>
  <si>
    <t>Fenômenos de Transportes</t>
  </si>
  <si>
    <t>Palestina</t>
  </si>
  <si>
    <t>Mecânica dos Sólidos</t>
  </si>
  <si>
    <t>Salto</t>
  </si>
  <si>
    <t>Processos de Fabricação</t>
  </si>
  <si>
    <t>Guaratinguetá</t>
  </si>
  <si>
    <t>Mairinque</t>
  </si>
  <si>
    <t>Projetos de Máquinas</t>
  </si>
  <si>
    <t>Serra Negra</t>
  </si>
  <si>
    <t>Santa Cruz das Palmeiras</t>
  </si>
  <si>
    <t>Aplicações de Radioisótopos</t>
  </si>
  <si>
    <t>Dumont</t>
  </si>
  <si>
    <t>Santa Maria da Serra</t>
  </si>
  <si>
    <t>Tecnologia dos Reatores</t>
  </si>
  <si>
    <t>Itapeva</t>
  </si>
  <si>
    <t>Operações Industriais e Equipamentos para Engenharia Química</t>
  </si>
  <si>
    <t>Ilha Comprida</t>
  </si>
  <si>
    <t>Iperó</t>
  </si>
  <si>
    <t>Processos Industriais de Engenharia Química</t>
  </si>
  <si>
    <t>Monte Alto</t>
  </si>
  <si>
    <t>Tecnologia Química</t>
  </si>
  <si>
    <t>Mirassol</t>
  </si>
  <si>
    <t>Recursos Hídricos</t>
  </si>
  <si>
    <t>Boituva</t>
  </si>
  <si>
    <t>Tatuí</t>
  </si>
  <si>
    <t>Saneamento Ambiental</t>
  </si>
  <si>
    <t>Monte Mor</t>
  </si>
  <si>
    <t>Saneamento Básico</t>
  </si>
  <si>
    <t>Tupã</t>
  </si>
  <si>
    <t>Conchal</t>
  </si>
  <si>
    <t>Tratamentos de Águas de Abastecimento e Residuárias</t>
  </si>
  <si>
    <t>Estiva Gerbi</t>
  </si>
  <si>
    <t>Análise e Controle de Medicamentos</t>
  </si>
  <si>
    <t>Álvaro de Carvalho</t>
  </si>
  <si>
    <t>Análise Toxicológica</t>
  </si>
  <si>
    <t>Nova Odessa</t>
  </si>
  <si>
    <t>Francisco Morato</t>
  </si>
  <si>
    <t>Bromatologia</t>
  </si>
  <si>
    <t>Ipeúna</t>
  </si>
  <si>
    <t>Farmacognosia</t>
  </si>
  <si>
    <t>Pompéia</t>
  </si>
  <si>
    <t>Farmacotecnia</t>
  </si>
  <si>
    <t>Pereiras</t>
  </si>
  <si>
    <t>Juquitiba</t>
  </si>
  <si>
    <t>Leme</t>
  </si>
  <si>
    <t>Etnofarmacologia</t>
  </si>
  <si>
    <t>Farmacologia Bioquímica e Molecular</t>
  </si>
  <si>
    <t>Farmacologia Cardiorenal</t>
  </si>
  <si>
    <t>Farmacologia Clínica</t>
  </si>
  <si>
    <t>Farmacologia Geral</t>
  </si>
  <si>
    <t>Toxicologia</t>
  </si>
  <si>
    <t>Áreas Clássicas de Fenomenologia e suas Aplicações</t>
  </si>
  <si>
    <t>Física Atômica e Molecular</t>
  </si>
  <si>
    <t>Física da Matéria Condensada</t>
  </si>
  <si>
    <t>Física dos Fluídos, Física de Plasmas e Descargas Elétricas</t>
  </si>
  <si>
    <t>Física Geral</t>
  </si>
  <si>
    <t>Física Nuclear</t>
  </si>
  <si>
    <t>Genética Animal</t>
  </si>
  <si>
    <t>Genética Humana e Médica</t>
  </si>
  <si>
    <t>Genética Molecular e de Microorganismos</t>
  </si>
  <si>
    <t>Genética Quantitativa</t>
  </si>
  <si>
    <t>Genética Vegetal</t>
  </si>
  <si>
    <t>Geodésia</t>
  </si>
  <si>
    <t>Geofísica</t>
  </si>
  <si>
    <t>Geografia Física</t>
  </si>
  <si>
    <t>Geologia</t>
  </si>
  <si>
    <t>Meteorologia</t>
  </si>
  <si>
    <t>Imunogenética</t>
  </si>
  <si>
    <t>Imunologia Aplicada</t>
  </si>
  <si>
    <t>Imunologia Celular</t>
  </si>
  <si>
    <t>Al Sukkar Biotecnologia Industrial Ltda. - ME</t>
  </si>
  <si>
    <t>Imunoquímica</t>
  </si>
  <si>
    <t>Linguística Aplicada</t>
  </si>
  <si>
    <t>Matemática Aplicada</t>
  </si>
  <si>
    <t>Anatomia Patológica e Patologia Clínica</t>
  </si>
  <si>
    <t>Cirurgia</t>
  </si>
  <si>
    <t>Clínica Médica</t>
  </si>
  <si>
    <t>Psiquiatria</t>
  </si>
  <si>
    <t>Projetos 2021-2025</t>
  </si>
  <si>
    <t>Radiologia Médica</t>
  </si>
  <si>
    <t>Saúde Materno-infantil</t>
  </si>
  <si>
    <t>Clínica e Cirurgia Animal</t>
  </si>
  <si>
    <t>Inspeção de Produtos de Origem Animal</t>
  </si>
  <si>
    <t>Apis Flora Industrial e Comercial Ltda</t>
  </si>
  <si>
    <t>Medicina Veterinária Preventiva</t>
  </si>
  <si>
    <t>Patologia Animal</t>
  </si>
  <si>
    <t>Reprodução Animal</t>
  </si>
  <si>
    <t>Biologia e Fisiologia dos Microorganismos</t>
  </si>
  <si>
    <t>Microbiologia Aplicada</t>
  </si>
  <si>
    <t>Projetos em 2025</t>
  </si>
  <si>
    <t>Anatomia</t>
  </si>
  <si>
    <t>Bioquímica da Nutrição</t>
  </si>
  <si>
    <t>Desnutrição e Desenvolvimento Fisiológico</t>
  </si>
  <si>
    <t>Dietética</t>
  </si>
  <si>
    <t>Oceanografia Física</t>
  </si>
  <si>
    <t>Oceanografia Geológica</t>
  </si>
  <si>
    <t>Crescimento entre 2021-2025</t>
  </si>
  <si>
    <t>Clínica Odontológica</t>
  </si>
  <si>
    <t>Endodontia</t>
  </si>
  <si>
    <t>Materiais Odontológicos</t>
  </si>
  <si>
    <t>Odontologia Social e Preventiva</t>
  </si>
  <si>
    <t>Ortodontia</t>
  </si>
  <si>
    <t>Periodontia</t>
  </si>
  <si>
    <t>Radiologia Odontológica</t>
  </si>
  <si>
    <t>Entomologia e Malacologia de Parasitos e Vetores</t>
  </si>
  <si>
    <t>Protozoologia de Parasitos</t>
  </si>
  <si>
    <t>Métodos e Técnicas do Planejamento Urbano e Regional</t>
  </si>
  <si>
    <t>Serviços Urbanos e Regionais</t>
  </si>
  <si>
    <t>Probabilidade e Estatística Aplicadas</t>
  </si>
  <si>
    <t>Psicologia Social</t>
  </si>
  <si>
    <t>Físico-química</t>
  </si>
  <si>
    <t>Química Analítica</t>
  </si>
  <si>
    <t>Química Inorgânica</t>
  </si>
  <si>
    <t>Química Orgânica</t>
  </si>
  <si>
    <t>Crescimento dos projetos PIPE por Área do Conhecimento (2021–2025)</t>
  </si>
  <si>
    <t>Conservação da Natureza</t>
  </si>
  <si>
    <t>Energia de Biomassa Florestal</t>
  </si>
  <si>
    <t>Manejo Florestal</t>
  </si>
  <si>
    <t>Silvicultura</t>
  </si>
  <si>
    <t>Tecnologia e Utilização de Produtos Florestais</t>
  </si>
  <si>
    <t>Aquicultura</t>
  </si>
  <si>
    <t>Recursos Pesqueiros de Águas Interiores</t>
  </si>
  <si>
    <t>Medicina Preventiva</t>
  </si>
  <si>
    <t>Saúde Pública</t>
  </si>
  <si>
    <t>Ciências Biológicas</t>
  </si>
  <si>
    <t>Comportamento Animal</t>
  </si>
  <si>
    <t>Quantidade de Projetos</t>
  </si>
  <si>
    <t>Zoologia Aplicada</t>
  </si>
  <si>
    <t>Genética e Melhoramento dos Animais Domésticos</t>
  </si>
  <si>
    <t>Anos</t>
  </si>
  <si>
    <t>Nutrição e Alimentação Animal</t>
  </si>
  <si>
    <t>Pastagens e Forragicultura</t>
  </si>
  <si>
    <t>Produção Animal</t>
  </si>
  <si>
    <t>Evolução entre 2021 e 2025</t>
  </si>
  <si>
    <t>2021</t>
  </si>
  <si>
    <t>2022</t>
  </si>
  <si>
    <t>2023</t>
  </si>
  <si>
    <t>2024</t>
  </si>
  <si>
    <t>2025</t>
  </si>
  <si>
    <t>Porcentagem(%)</t>
  </si>
  <si>
    <t>Avita Produtos Químicos Farmacêuticos Ltda</t>
  </si>
  <si>
    <t>Baltiere Indústria, Comércio, Exportação e Importação Ltda</t>
  </si>
  <si>
    <t>Bind Pesquisa e Desenvolvimento Ltda</t>
  </si>
  <si>
    <t>Bionova Mudas e Plantas Ltda</t>
  </si>
  <si>
    <t>BRP Inovação, Assessoria e Representação Comercial Ltda</t>
  </si>
  <si>
    <t>BTZ Tecnologia Ltda</t>
  </si>
  <si>
    <t>Bymycell Inova Simples Ltda</t>
  </si>
  <si>
    <t>Capataz - Estatores Motores e Geradores Elétricos Eireli - ME</t>
  </si>
  <si>
    <t>Centro Paulista de Diagnóstico, Pesquisa e Treinamento Ltda (CPDP)</t>
  </si>
  <si>
    <t>Centro Técnico de Avaliação Genética Ltda. - EPP</t>
  </si>
  <si>
    <t>Ciaware Centro de Informatizações e Análises Ltda</t>
  </si>
  <si>
    <t>Clínica Ativa Ação Reabilitação Ltda. - ME</t>
  </si>
  <si>
    <t>Cross Reality Sistemas Ltda</t>
  </si>
  <si>
    <t>Ciências Humanas</t>
  </si>
  <si>
    <t>Decoy Tecnologia em Controle de Pragas S/A</t>
  </si>
  <si>
    <t>Projetos</t>
  </si>
  <si>
    <t>Dentillo e Gavio Identificação e Quantificação Molecular Ltda. - ME</t>
  </si>
  <si>
    <t>Diasci Diagnóstico Científico e Soluções Tecnológicas Avançadas Ltda</t>
  </si>
  <si>
    <t>Interdisciplinar</t>
  </si>
  <si>
    <t/>
  </si>
  <si>
    <t>Eco Biotech Tecnologia em Manutenção Ltda. - ME</t>
  </si>
  <si>
    <t>EDITBIO BIOTECNOLOGIA LTDA</t>
  </si>
  <si>
    <t>Eleve Science Pesquisa e Desenvolvimento Ltda</t>
  </si>
  <si>
    <t>Essentii Pesquisa, Desenvolvimento e Inovação Ltda. - ME</t>
  </si>
  <si>
    <t>Exclusif Ltda. - EPP</t>
  </si>
  <si>
    <t>F W Grillo - ME</t>
  </si>
  <si>
    <t>Fernanda Rebel Moreira Alves</t>
  </si>
  <si>
    <t>Figlabs Pesquisa e Desenvolvimento Ltda (Figlabs)</t>
  </si>
  <si>
    <t>G&amp;G Cosmética Ltda. - ME</t>
  </si>
  <si>
    <t>Gedanken Desenvolvimento e Licenciamento de Programas de Computador Ltda</t>
  </si>
  <si>
    <t>Ciências Sociais Aplicadas</t>
  </si>
  <si>
    <t>Área</t>
  </si>
  <si>
    <t>Genética Molecular Pesquisa e Desenvolvimento Ltda (GENON)</t>
  </si>
  <si>
    <t>Heranza Biotecnologia Ltda. - ME</t>
  </si>
  <si>
    <t>In Situ Terapia Celular Ltda</t>
  </si>
  <si>
    <t>Inanocare Ltda. - ME</t>
  </si>
  <si>
    <t>Innolution Sistemas de Informática Ltda</t>
  </si>
  <si>
    <t>Invent Biotecnologia Ltda. - ME</t>
  </si>
  <si>
    <t>INVITRA - Tecnologia da Reprodução Assistida Ltda</t>
  </si>
  <si>
    <t>Juan Harold Sosa Arnao</t>
  </si>
  <si>
    <t>Kidopi Soluções em Informática Médica Ltda (Kidopi)</t>
  </si>
  <si>
    <t>L A PHARMATEC PESQUISA E DESENVOLVIMENTO LTDA</t>
  </si>
  <si>
    <t>Labmaq do Brasil Ltda</t>
  </si>
  <si>
    <t>Auxílio à Pesquisa - PAPPE / PIPE III</t>
  </si>
  <si>
    <t>Laboratório Vitafort Indústria e Comércio Produtos Veterinários Ltda</t>
  </si>
  <si>
    <t>LCR Kimera Biotecnologia Ltda</t>
  </si>
  <si>
    <t>Lipid Ingredients &amp; Technologies Ltda. - ME</t>
  </si>
  <si>
    <t>Living Out Laboratório de Testes Celulares In Vitro Ltda</t>
  </si>
  <si>
    <t>Lychnoflora Pesquisa e Desenvolvimento em Produtos Naturais Ltda (Lychnoflora)</t>
  </si>
  <si>
    <t>M C Tech Biotecnologia Ltda</t>
  </si>
  <si>
    <t>Mairum Ceoldo Andrade - ME</t>
  </si>
  <si>
    <t>Mario Cesar Souza e Silva</t>
  </si>
  <si>
    <t>Microcontrol Innovation Ltda. - ME</t>
  </si>
  <si>
    <t>Millbox Comércio e Montagens de Equipamentos de Eletrônica Ltda</t>
  </si>
  <si>
    <t>Monera Agrocencia Inova Simples (I.S)</t>
  </si>
  <si>
    <t>MRA Indústria de Equipamentos Eletrônicos Ltda</t>
  </si>
  <si>
    <t>Nanophoton Ltda. - ME</t>
  </si>
  <si>
    <t>Narcissus Pesquisa Clínica e Biotecnologia Ltda. - ME</t>
  </si>
  <si>
    <t>Neogenys Diagnóstico Molecular Ltda</t>
  </si>
  <si>
    <t>Noleak Tecnologia da Informação Ltda</t>
  </si>
  <si>
    <t>Onkos Diagnósticos Moleculares Ltda (Filial)</t>
  </si>
  <si>
    <t>Onkos Diagnósticos Moleculares Ltda. - ME</t>
  </si>
  <si>
    <t>Paula C dos Santos Suporte Técnico e Desenvolvimento de Sistemas Ltda</t>
  </si>
  <si>
    <t>PBF Nutrientes Ltda</t>
  </si>
  <si>
    <t>PHC Serviços Administrativos e Projetos Ltda. - ME</t>
  </si>
  <si>
    <t>Pro Bio Pesquisa e Desenvolvimento Ltda. - ME</t>
  </si>
  <si>
    <t>Progenix Pesquisa e Artigos para Laboratório Ltda</t>
  </si>
  <si>
    <t>Rad Tech Sistemas Médicos Ltda</t>
  </si>
  <si>
    <t>Radiologia IS Desenvolvimento de Programas Ltda</t>
  </si>
  <si>
    <t>Rafael Mira de Oliveira Libardi Eireli - ME</t>
  </si>
  <si>
    <t>Reload Health Devices Ltda</t>
  </si>
  <si>
    <t>Rodrigo Aznar Mendes</t>
  </si>
  <si>
    <t>Santa Martha Jardins Ltda. - ME</t>
  </si>
  <si>
    <t>Sardrones Aplicações e Serviços Agrícolas - Eireli</t>
  </si>
  <si>
    <t>SC Condi Assessoria Industrial</t>
  </si>
  <si>
    <t>Sensorial Desenvolvimento de Software Ltda. - ME</t>
  </si>
  <si>
    <t>Sigmed Equipamentos Eletrônicos Ltda. - EPP</t>
  </si>
  <si>
    <t>Souza P&amp;D Farmacêutico Ltda</t>
  </si>
  <si>
    <t>Sthenos Inovações em Saúde Ltda</t>
  </si>
  <si>
    <t>TagmaVisions Treinamentos Digitais Ltda</t>
  </si>
  <si>
    <t>Technobag Indústria de Artefatos Plásticos Ltda. - ME</t>
  </si>
  <si>
    <t>Technopulp Consultoria e Comércio de Equipamentos Industriais Ltda</t>
  </si>
  <si>
    <t>Teiu Pesquisa e Desenvolvimento em Energia Ltda</t>
  </si>
  <si>
    <t>Thiago Franco</t>
  </si>
  <si>
    <t>V L Campo</t>
  </si>
  <si>
    <t>Verdartis Desenvolvimento Biotecnológico Ltda. - ME</t>
  </si>
  <si>
    <t>Veritas Biotecnologia Ltda</t>
  </si>
  <si>
    <t>Virológica Soluções em Microbiologia Ltda</t>
  </si>
  <si>
    <t>Visionbr Tecnologia e Informática Ltda</t>
  </si>
  <si>
    <t>XAVIER &amp; LOUREIRO BIOTEC LTDA</t>
  </si>
  <si>
    <t>Yosen Indústria e Comércio de Produtos para Saúde Ltda</t>
  </si>
  <si>
    <t>Rótulos de Linha</t>
  </si>
  <si>
    <t>Contagem de Empresa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</si>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</sst>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0"/>
      <name val="Arial Black"/>
    </font>
    <font/>
    <font>
      <sz val="18.0"/>
      <color theme="0"/>
      <name val="Arial Black"/>
    </font>
    <font>
      <sz val="12.0"/>
      <color theme="0"/>
      <name val="Arial Black"/>
    </font>
    <font>
      <color theme="1"/>
      <name val="Calibri"/>
      <scheme val="minor"/>
    </font>
    <font>
      <b/>
      <sz val="11.0"/>
      <color theme="0"/>
      <name val="Calibri"/>
    </font>
    <font>
      <sz val="16.0"/>
      <color rgb="FFFFFFFF"/>
      <name val="Arial Black"/>
    </font>
    <font>
      <sz val="11.0"/>
      <color rgb="FFFFFFFF"/>
      <name val="Calibri"/>
    </font>
    <font>
      <sz val="11.0"/>
      <color theme="0"/>
      <name val="Arial Black"/>
    </font>
    <font>
      <sz val="20.0"/>
      <color rgb="FF000000"/>
      <name val="Calibri"/>
    </font>
    <font>
      <sz val="10.0"/>
      <color theme="0"/>
      <name val="Arial Black"/>
    </font>
    <font>
      <b/>
      <sz val="9.0"/>
      <color theme="0"/>
      <name val="Calibri"/>
    </font>
    <font>
      <color rgb="FFFFFFFF"/>
      <name val="Calibri"/>
      <scheme val="minor"/>
    </font>
    <font>
      <sz val="11.0"/>
      <color theme="0"/>
      <name val="Calibri"/>
    </font>
    <font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222A35"/>
        <bgColor rgb="FF222A35"/>
      </patternFill>
    </fill>
    <fill>
      <patternFill patternType="solid">
        <fgColor rgb="FFB4A7D6"/>
        <bgColor rgb="FFB4A7D6"/>
      </patternFill>
    </fill>
    <fill>
      <patternFill patternType="solid">
        <fgColor rgb="FF3A3838"/>
        <bgColor rgb="FF3A3838"/>
      </patternFill>
    </fill>
    <fill>
      <patternFill patternType="solid">
        <fgColor rgb="FFD9D9D9"/>
        <bgColor rgb="FFD9D9D9"/>
      </patternFill>
    </fill>
    <fill>
      <patternFill patternType="solid">
        <fgColor rgb="FF525252"/>
        <bgColor rgb="FF525252"/>
      </patternFill>
    </fill>
    <fill>
      <patternFill patternType="solid">
        <fgColor rgb="FFDADADA"/>
        <bgColor rgb="FFDADADA"/>
      </patternFill>
    </fill>
    <fill>
      <patternFill patternType="solid">
        <fgColor rgb="FFCCCCCC"/>
        <bgColor rgb="FFCCCCCC"/>
      </patternFill>
    </fill>
  </fills>
  <borders count="19">
    <border/>
    <border>
      <left/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A8D08D"/>
      </bottom>
    </border>
    <border>
      <top/>
      <bottom style="thin">
        <color rgb="FFA8D08D"/>
      </bottom>
    </border>
    <border>
      <right/>
      <top/>
      <bottom style="thin">
        <color rgb="FFA8D08D"/>
      </bottom>
    </border>
    <border>
      <left/>
      <right/>
      <top/>
      <bottom style="thin">
        <color rgb="FFA8D08D"/>
      </bottom>
    </border>
    <border>
      <top/>
      <bottom/>
    </border>
    <border>
      <left/>
      <right/>
      <top style="thin">
        <color rgb="FFA8D08D"/>
      </top>
      <bottom style="thin">
        <color rgb="FFA8D08D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 style="thin">
        <color rgb="FFA8D08D"/>
      </top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0" fillId="0" fontId="4" numFmtId="0" xfId="0" applyFont="1"/>
    <xf borderId="0" fillId="0" fontId="4" numFmtId="0" xfId="0" applyAlignment="1" applyFont="1">
      <alignment horizontal="center"/>
    </xf>
    <xf borderId="3" fillId="2" fontId="5" numFmtId="0" xfId="0" applyBorder="1" applyFont="1"/>
    <xf borderId="0" fillId="0" fontId="6" numFmtId="0" xfId="0" applyFont="1"/>
    <xf borderId="3" fillId="2" fontId="2" numFmtId="0" xfId="0" applyBorder="1" applyFon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vertical="center"/>
    </xf>
    <xf borderId="4" fillId="2" fontId="4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3" fontId="7" numFmtId="0" xfId="0" applyAlignment="1" applyBorder="1" applyFill="1" applyFont="1">
      <alignment horizontal="center" readingOrder="0" shrinkToFit="0" vertical="center" wrapText="0"/>
    </xf>
    <xf borderId="8" fillId="0" fontId="3" numFmtId="0" xfId="0" applyBorder="1" applyFont="1"/>
    <xf borderId="7" fillId="3" fontId="7" numFmtId="14" xfId="0" applyAlignment="1" applyBorder="1" applyFont="1" applyNumberFormat="1">
      <alignment horizontal="center" readingOrder="0" shrinkToFit="0" vertical="center" wrapText="0"/>
    </xf>
    <xf borderId="9" fillId="4" fontId="1" numFmtId="0" xfId="0" applyAlignment="1" applyBorder="1" applyFill="1" applyFont="1">
      <alignment shrinkToFit="0" vertical="center" wrapText="0"/>
    </xf>
    <xf borderId="9" fillId="4" fontId="1" numFmtId="14" xfId="0" applyAlignment="1" applyBorder="1" applyFont="1" applyNumberFormat="1">
      <alignment shrinkToFit="0" vertical="center" wrapText="0"/>
    </xf>
    <xf borderId="1" fillId="5" fontId="8" numFmtId="0" xfId="0" applyAlignment="1" applyBorder="1" applyFill="1" applyFont="1">
      <alignment horizontal="center" readingOrder="0"/>
    </xf>
    <xf borderId="3" fillId="5" fontId="1" numFmtId="0" xfId="0" applyBorder="1" applyFont="1"/>
    <xf borderId="3" fillId="0" fontId="1" numFmtId="0" xfId="0" applyBorder="1" applyFont="1"/>
    <xf borderId="1" fillId="5" fontId="9" numFmtId="0" xfId="0" applyAlignment="1" applyBorder="1" applyFont="1">
      <alignment readingOrder="0"/>
    </xf>
    <xf borderId="1" fillId="6" fontId="1" numFmtId="0" xfId="0" applyAlignment="1" applyBorder="1" applyFill="1" applyFont="1">
      <alignment readingOrder="0"/>
    </xf>
    <xf borderId="3" fillId="7" fontId="10" numFmtId="0" xfId="0" applyBorder="1" applyFill="1" applyFont="1"/>
    <xf borderId="10" fillId="8" fontId="11" numFmtId="0" xfId="0" applyAlignment="1" applyBorder="1" applyFill="1" applyFont="1">
      <alignment horizontal="center" vertical="center"/>
    </xf>
    <xf borderId="3" fillId="7" fontId="12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9" fontId="9" numFmtId="0" xfId="0" applyFill="1" applyFont="1"/>
    <xf borderId="0" fillId="9" fontId="9" numFmtId="0" xfId="0" applyAlignment="1" applyFont="1">
      <alignment readingOrder="0"/>
    </xf>
    <xf borderId="0" fillId="9" fontId="6" numFmtId="0" xfId="0" applyFont="1"/>
    <xf borderId="3" fillId="9" fontId="13" numFmtId="9" xfId="0" applyBorder="1" applyFont="1" applyNumberFormat="1"/>
    <xf borderId="0" fillId="9" fontId="14" numFmtId="0" xfId="0" applyFont="1"/>
    <xf borderId="3" fillId="9" fontId="15" numFmtId="9" xfId="0" applyBorder="1" applyFont="1" applyNumberFormat="1"/>
    <xf borderId="3" fillId="10" fontId="1" numFmtId="9" xfId="0" applyBorder="1" applyFill="1" applyFont="1" applyNumberFormat="1"/>
    <xf borderId="10" fillId="8" fontId="11" numFmtId="10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5" fontId="6" numFmtId="0" xfId="0" applyFont="1"/>
    <xf borderId="0" fillId="0" fontId="1" numFmtId="9" xfId="0" applyFont="1" applyNumberFormat="1"/>
    <xf borderId="3" fillId="6" fontId="1" numFmtId="0" xfId="0" applyAlignment="1" applyBorder="1" applyFont="1">
      <alignment readingOrder="0"/>
    </xf>
    <xf borderId="3" fillId="11" fontId="16" numFmtId="0" xfId="0" applyAlignment="1" applyBorder="1" applyFill="1" applyFont="1">
      <alignment readingOrder="0"/>
    </xf>
    <xf borderId="3" fillId="11" fontId="16" numFmtId="0" xfId="0" applyBorder="1" applyFont="1"/>
    <xf borderId="3" fillId="8" fontId="1" numFmtId="0" xfId="0" applyBorder="1" applyFont="1"/>
    <xf borderId="18" fillId="4" fontId="1" numFmtId="0" xfId="0" applyAlignment="1" applyBorder="1" applyFont="1">
      <alignment shrinkToFit="0" vertical="center" wrapText="0"/>
    </xf>
    <xf borderId="18" fillId="4" fontId="1" numFmtId="14" xfId="0" applyAlignment="1" applyBorder="1" applyFont="1" applyNumberFormat="1">
      <alignment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3. Ribeirão Pre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Projetos Iniciados por Ano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Dashboard!$D$12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Dashboard!$C$13:$C$17</c:f>
            </c:strRef>
          </c:cat>
          <c:val>
            <c:numRef>
              <c:f>Dashboard!$D$13:$D$17</c:f>
              <c:numCache/>
            </c:numRef>
          </c:val>
          <c:smooth val="0"/>
        </c:ser>
        <c:axId val="298592713"/>
        <c:axId val="239818799"/>
      </c:lineChart>
      <c:catAx>
        <c:axId val="298592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818799"/>
      </c:catAx>
      <c:valAx>
        <c:axId val="239818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59271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10 áreas com mais projetos em 2025</a:t>
            </a:r>
          </a:p>
        </c:rich>
      </c:tx>
      <c:layout>
        <c:manualLayout>
          <c:xMode val="edge"/>
          <c:yMode val="edge"/>
          <c:x val="0.029930191972076792"/>
          <c:y val="0.05000000000000001"/>
        </c:manualLayout>
      </c:layout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 w="9525">
              <a:noFill/>
              <a:prstDash val="sysDot"/>
            </a:ln>
          </c:spPr>
          <c:cat>
            <c:strRef>
              <c:f>Dashboard!$C$26:$C$35</c:f>
            </c:strRef>
          </c:cat>
          <c:val>
            <c:numRef>
              <c:f>Dashboard!$D$26:$D$35</c:f>
              <c:numCache/>
            </c:numRef>
          </c:val>
        </c:ser>
        <c:ser>
          <c:idx val="1"/>
          <c:order val="1"/>
          <c:cat>
            <c:strRef>
              <c:f>Dashboard!$C$26:$C$35</c:f>
            </c:strRef>
          </c:cat>
          <c:val>
            <c:numRef>
              <c:f>Dashboard!$E$26:$E$35</c:f>
              <c:numCache/>
            </c:numRef>
          </c:val>
        </c:ser>
        <c:axId val="1040521083"/>
        <c:axId val="377214236"/>
      </c:barChart>
      <c:catAx>
        <c:axId val="1040521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214236"/>
      </c:catAx>
      <c:valAx>
        <c:axId val="3772142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521083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Número de Empresas por Área de Conhecimento</a:t>
            </a:r>
          </a:p>
        </c:rich>
      </c:tx>
      <c:layout>
        <c:manualLayout>
          <c:xMode val="edge"/>
          <c:yMode val="edge"/>
          <c:x val="0.10109383995394358"/>
          <c:y val="0.02542709256713028"/>
        </c:manualLayout>
      </c:layout>
      <c:overlay val="0"/>
    </c:title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'1. Áreas e Subáreas'!$A$4:$A$65</c:f>
            </c:strRef>
          </c:cat>
          <c:val>
            <c:numRef>
              <c:f>'1. Áreas e Subáreas'!$B$4:$B$65</c:f>
              <c:numCache/>
            </c:numRef>
          </c:val>
        </c:ser>
        <c:overlap val="100"/>
        <c:axId val="1795598552"/>
        <c:axId val="60855284"/>
      </c:barChart>
      <c:catAx>
        <c:axId val="17955985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855284"/>
      </c:catAx>
      <c:valAx>
        <c:axId val="608552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5598552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Número de Empresas por Munícipios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'2. Cidades'!$A$4:$A$180</c:f>
            </c:strRef>
          </c:cat>
          <c:val>
            <c:numRef>
              <c:f>'2. Cidades'!$B$4:$B$180</c:f>
              <c:numCache/>
            </c:numRef>
          </c:val>
        </c:ser>
        <c:axId val="859439987"/>
        <c:axId val="169912989"/>
      </c:barChart>
      <c:catAx>
        <c:axId val="8594399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912989"/>
      </c:catAx>
      <c:valAx>
        <c:axId val="1699129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9439987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Quantidade de Empresas por Grande Área de Conhecimento em Ribeirão Preto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'3. Ribeirão Preto'!$A$221:$A$229</c:f>
            </c:strRef>
          </c:cat>
          <c:val>
            <c:numRef>
              <c:f>'3. Ribeirão Preto'!$B$221:$B$229</c:f>
              <c:numCache/>
            </c:numRef>
          </c:val>
        </c:ser>
        <c:overlap val="100"/>
        <c:axId val="1505929201"/>
        <c:axId val="752603254"/>
      </c:barChart>
      <c:catAx>
        <c:axId val="1505929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2603254"/>
      </c:catAx>
      <c:valAx>
        <c:axId val="752603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592920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9</xdr:row>
      <xdr:rowOff>180975</xdr:rowOff>
    </xdr:from>
    <xdr:ext cx="5457825" cy="2314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600075</xdr:colOff>
      <xdr:row>23</xdr:row>
      <xdr:rowOff>123825</xdr:rowOff>
    </xdr:from>
    <xdr:ext cx="5457825" cy="30765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9525</xdr:rowOff>
    </xdr:from>
    <xdr:ext cx="5372100" cy="40290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0</xdr:row>
      <xdr:rowOff>171450</xdr:rowOff>
    </xdr:from>
    <xdr:ext cx="7981950" cy="40290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276225</xdr:rowOff>
    </xdr:from>
    <xdr:ext cx="7229475" cy="38004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196" displayName="Tabela4" name="Tabela4" id="1">
  <tableColumns count="6">
    <tableColumn name="Empresa" id="1"/>
    <tableColumn name="Modalidade de apoio" id="2"/>
    <tableColumn name="Grande Área do Conhecimento" id="3"/>
    <tableColumn name="Área do Conhecimento" id="4"/>
    <tableColumn name="Data de Início" id="5"/>
    <tableColumn name="Data de Término" id="6"/>
  </tableColumns>
  <tableStyleInfo name="3. Ribeirão Pr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1616"/>
    <pageSetUpPr/>
  </sheetPr>
  <sheetViews>
    <sheetView showGridLines="0" workbookViewId="0"/>
  </sheetViews>
  <sheetFormatPr customHeight="1" defaultColWidth="14.43" defaultRowHeight="15.0"/>
  <cols>
    <col customWidth="1" min="1" max="17" width="9.14"/>
    <col customWidth="1" min="18" max="26" width="8.71"/>
  </cols>
  <sheetData>
    <row r="1">
      <c r="A1" s="20" t="s">
        <v>213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3"/>
      <c r="R1" s="21"/>
      <c r="S1" s="22"/>
      <c r="T1" s="22"/>
      <c r="U1" s="22"/>
      <c r="V1" s="22"/>
      <c r="W1" s="22"/>
      <c r="X1" s="22"/>
      <c r="Y1" s="22"/>
      <c r="Z1" s="22"/>
    </row>
    <row r="2">
      <c r="A2" s="23" t="s">
        <v>299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3"/>
      <c r="S2" s="22"/>
      <c r="T2" s="22"/>
      <c r="U2" s="22"/>
      <c r="V2" s="22"/>
      <c r="W2" s="22"/>
      <c r="X2" s="22"/>
      <c r="Y2" s="22"/>
      <c r="Z2" s="22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21"/>
      <c r="B4" s="21"/>
      <c r="C4" s="24" t="s">
        <v>403</v>
      </c>
      <c r="D4" s="16"/>
      <c r="E4" s="16"/>
      <c r="F4" s="3"/>
      <c r="G4" s="21"/>
      <c r="H4" s="24" t="s">
        <v>414</v>
      </c>
      <c r="I4" s="16"/>
      <c r="J4" s="16"/>
      <c r="K4" s="3"/>
      <c r="L4" s="21"/>
      <c r="M4" s="24" t="s">
        <v>421</v>
      </c>
      <c r="N4" s="16"/>
      <c r="O4" s="16"/>
      <c r="P4" s="3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21"/>
      <c r="B5" s="21"/>
      <c r="C5" s="26">
        <f>SUM(D13:D17)</f>
        <v>1256</v>
      </c>
      <c r="D5" s="28"/>
      <c r="E5" s="28"/>
      <c r="F5" s="29"/>
      <c r="G5" s="21"/>
      <c r="H5" s="26">
        <f>D17</f>
        <v>155</v>
      </c>
      <c r="I5" s="28"/>
      <c r="J5" s="28"/>
      <c r="K5" s="29"/>
      <c r="L5" s="21"/>
      <c r="M5" s="37">
        <f>IF(SUM('4.Crescimento por Área '!B4:B56)=0,"",(SUM('4.Crescimento por Área '!F4:F56)-SUM('4.Crescimento por Área '!B4:B56))/SUM('4.Crescimento por Área '!B4:B56))</f>
        <v>-0.421221865</v>
      </c>
      <c r="N5" s="28"/>
      <c r="O5" s="28"/>
      <c r="P5" s="29"/>
      <c r="Q5" s="21"/>
      <c r="R5" s="21"/>
      <c r="S5" s="22"/>
      <c r="T5" s="22"/>
      <c r="U5" s="22"/>
      <c r="V5" s="22"/>
      <c r="W5" s="22"/>
      <c r="X5" s="22"/>
      <c r="Y5" s="22"/>
      <c r="Z5" s="22"/>
    </row>
    <row r="6">
      <c r="A6" s="21"/>
      <c r="B6" s="21"/>
      <c r="C6" s="38"/>
      <c r="F6" s="39"/>
      <c r="G6" s="21"/>
      <c r="H6" s="38"/>
      <c r="K6" s="39"/>
      <c r="L6" s="21"/>
      <c r="M6" s="38"/>
      <c r="P6" s="39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21"/>
      <c r="B7" s="21"/>
      <c r="C7" s="38"/>
      <c r="F7" s="39"/>
      <c r="G7" s="21"/>
      <c r="H7" s="38"/>
      <c r="K7" s="39"/>
      <c r="L7" s="21"/>
      <c r="M7" s="38"/>
      <c r="P7" s="39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21"/>
      <c r="B8" s="21"/>
      <c r="C8" s="40"/>
      <c r="D8" s="41"/>
      <c r="E8" s="41"/>
      <c r="F8" s="42"/>
      <c r="G8" s="21"/>
      <c r="H8" s="40"/>
      <c r="I8" s="41"/>
      <c r="J8" s="41"/>
      <c r="K8" s="42"/>
      <c r="L8" s="21"/>
      <c r="M8" s="40"/>
      <c r="N8" s="41"/>
      <c r="O8" s="41"/>
      <c r="P8" s="42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21"/>
      <c r="B11" s="21"/>
      <c r="C11" s="43"/>
      <c r="D11" s="4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21"/>
      <c r="B12" s="21"/>
      <c r="C12" s="45" t="s">
        <v>454</v>
      </c>
      <c r="D12" s="45" t="s">
        <v>480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21"/>
      <c r="B13" s="21"/>
      <c r="C13" s="46">
        <v>2021.0</v>
      </c>
      <c r="D13" s="47">
        <f>SUM('4.Crescimento por Área '!B4:B56)</f>
        <v>311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21"/>
      <c r="B14" s="21"/>
      <c r="C14" s="46">
        <v>2022.0</v>
      </c>
      <c r="D14" s="47">
        <f>SUM('4.Crescimento por Área '!C5:C57)</f>
        <v>286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21"/>
      <c r="B15" s="21"/>
      <c r="C15" s="46">
        <v>2023.0</v>
      </c>
      <c r="D15" s="47">
        <f>SUM('4.Crescimento por Área '!D6:D58)</f>
        <v>311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21"/>
      <c r="B16" s="21"/>
      <c r="C16" s="46">
        <v>2024.0</v>
      </c>
      <c r="D16" s="47">
        <f>SUM('4.Crescimento por Área '!E7:E59)</f>
        <v>193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21"/>
      <c r="B17" s="21"/>
      <c r="C17" s="46">
        <v>2025.0</v>
      </c>
      <c r="D17" s="47">
        <f>SUM('4.Crescimento por Área '!F8:F60)</f>
        <v>155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1"/>
      <c r="B25" s="21"/>
      <c r="C25" s="45" t="s">
        <v>496</v>
      </c>
      <c r="D25" s="24" t="s">
        <v>414</v>
      </c>
      <c r="E25" s="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1"/>
      <c r="B26" s="21"/>
      <c r="C26" s="48" t="str">
        <f>IFERROR(__xludf.DUMMYFUNCTION("QUERY('4.Crescimento por Área '!A4:F54,""select A, F where A is not null order by F desc limit 10"",0)"),"Agronomia")</f>
        <v>Agronomia</v>
      </c>
      <c r="D26" s="48">
        <f>IFERROR(__xludf.DUMMYFUNCTION("""COMPUTED_VALUE"""),20.0)</f>
        <v>20</v>
      </c>
      <c r="E26" s="48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1"/>
      <c r="B27" s="21"/>
      <c r="C27" s="48" t="str">
        <f>IFERROR(__xludf.DUMMYFUNCTION("""COMPUTED_VALUE"""),"Microbiologia")</f>
        <v>Microbiologia</v>
      </c>
      <c r="D27" s="48">
        <f>IFERROR(__xludf.DUMMYFUNCTION("""COMPUTED_VALUE"""),15.0)</f>
        <v>15</v>
      </c>
      <c r="E27" s="48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1"/>
      <c r="B28" s="21"/>
      <c r="C28" s="48" t="str">
        <f>IFERROR(__xludf.DUMMYFUNCTION("""COMPUTED_VALUE"""),"Química")</f>
        <v>Química</v>
      </c>
      <c r="D28" s="48">
        <f>IFERROR(__xludf.DUMMYFUNCTION("""COMPUTED_VALUE"""),12.0)</f>
        <v>12</v>
      </c>
      <c r="E28" s="48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1"/>
      <c r="B29" s="21"/>
      <c r="C29" s="48" t="str">
        <f>IFERROR(__xludf.DUMMYFUNCTION("""COMPUTED_VALUE"""),"Ciência da Computação")</f>
        <v>Ciência da Computação</v>
      </c>
      <c r="D29" s="48">
        <f>IFERROR(__xludf.DUMMYFUNCTION("""COMPUTED_VALUE"""),11.0)</f>
        <v>11</v>
      </c>
      <c r="E29" s="48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1"/>
      <c r="B30" s="21"/>
      <c r="C30" s="48" t="str">
        <f>IFERROR(__xludf.DUMMYFUNCTION("""COMPUTED_VALUE"""),"Bioquímica")</f>
        <v>Bioquímica</v>
      </c>
      <c r="D30" s="48">
        <f>IFERROR(__xludf.DUMMYFUNCTION("""COMPUTED_VALUE"""),8.0)</f>
        <v>8</v>
      </c>
      <c r="E30" s="48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1"/>
      <c r="B31" s="21"/>
      <c r="C31" s="48" t="str">
        <f>IFERROR(__xludf.DUMMYFUNCTION("""COMPUTED_VALUE"""),"Botânica")</f>
        <v>Botânica</v>
      </c>
      <c r="D31" s="48">
        <f>IFERROR(__xludf.DUMMYFUNCTION("""COMPUTED_VALUE"""),8.0)</f>
        <v>8</v>
      </c>
      <c r="E31" s="48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1"/>
      <c r="B32" s="21"/>
      <c r="C32" s="48" t="str">
        <f>IFERROR(__xludf.DUMMYFUNCTION("""COMPUTED_VALUE"""),"Engenharia Biomédica")</f>
        <v>Engenharia Biomédica</v>
      </c>
      <c r="D32" s="48">
        <f>IFERROR(__xludf.DUMMYFUNCTION("""COMPUTED_VALUE"""),8.0)</f>
        <v>8</v>
      </c>
      <c r="E32" s="48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1"/>
      <c r="B33" s="21"/>
      <c r="C33" s="48" t="str">
        <f>IFERROR(__xludf.DUMMYFUNCTION("""COMPUTED_VALUE"""),"Engenharia Mecânica")</f>
        <v>Engenharia Mecânica</v>
      </c>
      <c r="D33" s="48">
        <f>IFERROR(__xludf.DUMMYFUNCTION("""COMPUTED_VALUE"""),8.0)</f>
        <v>8</v>
      </c>
      <c r="E33" s="48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1"/>
      <c r="B34" s="21"/>
      <c r="C34" s="48" t="str">
        <f>IFERROR(__xludf.DUMMYFUNCTION("""COMPUTED_VALUE"""),"Engenharia Química")</f>
        <v>Engenharia Química</v>
      </c>
      <c r="D34" s="48">
        <f>IFERROR(__xludf.DUMMYFUNCTION("""COMPUTED_VALUE"""),8.0)</f>
        <v>8</v>
      </c>
      <c r="E34" s="48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1"/>
      <c r="B35" s="21"/>
      <c r="C35" s="48" t="str">
        <f>IFERROR(__xludf.DUMMYFUNCTION("""COMPUTED_VALUE"""),"Farmácia")</f>
        <v>Farmácia</v>
      </c>
      <c r="D35" s="48">
        <f>IFERROR(__xludf.DUMMYFUNCTION("""COMPUTED_VALUE"""),8.0)</f>
        <v>8</v>
      </c>
      <c r="E35" s="48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9">
    <mergeCell ref="C5:F8"/>
    <mergeCell ref="D25:E25"/>
    <mergeCell ref="A1:Q1"/>
    <mergeCell ref="A2:R2"/>
    <mergeCell ref="C4:F4"/>
    <mergeCell ref="H4:K4"/>
    <mergeCell ref="M4:P4"/>
    <mergeCell ref="H5:K8"/>
    <mergeCell ref="M5:P8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3" width="24.86"/>
    <col customWidth="1" min="4" max="4" width="11.43"/>
    <col customWidth="1" min="5" max="26" width="8.71"/>
  </cols>
  <sheetData>
    <row r="1">
      <c r="A1" s="1"/>
    </row>
    <row r="2">
      <c r="A2" s="2" t="s">
        <v>0</v>
      </c>
      <c r="B2" s="3"/>
      <c r="C2" s="4"/>
      <c r="D2" s="5"/>
    </row>
    <row r="3">
      <c r="B3" s="1" t="s">
        <v>2</v>
      </c>
    </row>
    <row r="4">
      <c r="A4" s="7" t="s">
        <v>3</v>
      </c>
      <c r="B4" s="9">
        <v>532.0</v>
      </c>
    </row>
    <row r="5">
      <c r="A5" s="7" t="s">
        <v>4</v>
      </c>
      <c r="B5" s="9">
        <v>511.0</v>
      </c>
    </row>
    <row r="6">
      <c r="A6" s="7" t="s">
        <v>5</v>
      </c>
      <c r="B6" s="9">
        <v>439.0</v>
      </c>
    </row>
    <row r="7">
      <c r="A7" s="7" t="s">
        <v>6</v>
      </c>
      <c r="B7" s="9">
        <v>297.0</v>
      </c>
    </row>
    <row r="8">
      <c r="A8" s="7" t="s">
        <v>7</v>
      </c>
      <c r="B8" s="9">
        <v>289.0</v>
      </c>
    </row>
    <row r="9">
      <c r="A9" s="7" t="s">
        <v>9</v>
      </c>
      <c r="B9" s="9">
        <v>262.0</v>
      </c>
    </row>
    <row r="10">
      <c r="A10" s="7" t="s">
        <v>10</v>
      </c>
      <c r="B10" s="9">
        <v>257.0</v>
      </c>
    </row>
    <row r="11">
      <c r="A11" s="7" t="s">
        <v>11</v>
      </c>
      <c r="B11" s="9">
        <v>191.0</v>
      </c>
    </row>
    <row r="12">
      <c r="A12" s="7" t="s">
        <v>12</v>
      </c>
      <c r="B12" s="9">
        <v>191.0</v>
      </c>
    </row>
    <row r="13">
      <c r="A13" s="7" t="s">
        <v>14</v>
      </c>
      <c r="B13" s="9">
        <v>173.0</v>
      </c>
    </row>
    <row r="14">
      <c r="A14" s="7" t="s">
        <v>16</v>
      </c>
      <c r="B14" s="9">
        <v>164.0</v>
      </c>
    </row>
    <row r="15">
      <c r="A15" s="7" t="s">
        <v>17</v>
      </c>
      <c r="B15" s="9">
        <v>142.0</v>
      </c>
    </row>
    <row r="16">
      <c r="A16" s="7" t="s">
        <v>19</v>
      </c>
      <c r="B16" s="9">
        <v>128.0</v>
      </c>
    </row>
    <row r="17">
      <c r="A17" s="7" t="s">
        <v>21</v>
      </c>
      <c r="B17" s="9">
        <v>123.0</v>
      </c>
    </row>
    <row r="18">
      <c r="A18" s="7" t="s">
        <v>22</v>
      </c>
      <c r="B18" s="9">
        <v>119.0</v>
      </c>
    </row>
    <row r="19">
      <c r="A19" s="7" t="s">
        <v>24</v>
      </c>
      <c r="B19" s="9">
        <v>112.0</v>
      </c>
    </row>
    <row r="20">
      <c r="A20" s="7" t="s">
        <v>26</v>
      </c>
      <c r="B20" s="9">
        <v>100.0</v>
      </c>
    </row>
    <row r="21" ht="15.75" customHeight="1">
      <c r="A21" s="7" t="s">
        <v>27</v>
      </c>
      <c r="B21" s="9">
        <v>93.0</v>
      </c>
    </row>
    <row r="22" ht="15.75" customHeight="1">
      <c r="A22" s="7" t="s">
        <v>29</v>
      </c>
      <c r="B22" s="9">
        <v>92.0</v>
      </c>
    </row>
    <row r="23" ht="15.75" customHeight="1">
      <c r="A23" s="7" t="s">
        <v>31</v>
      </c>
      <c r="B23" s="9">
        <v>92.0</v>
      </c>
    </row>
    <row r="24" ht="15.75" customHeight="1">
      <c r="A24" s="7" t="s">
        <v>32</v>
      </c>
      <c r="B24" s="9">
        <v>91.0</v>
      </c>
    </row>
    <row r="25" ht="15.75" customHeight="1">
      <c r="A25" s="7" t="s">
        <v>34</v>
      </c>
      <c r="B25" s="9">
        <v>86.0</v>
      </c>
    </row>
    <row r="26" ht="15.75" customHeight="1">
      <c r="A26" s="7" t="s">
        <v>35</v>
      </c>
      <c r="B26" s="9">
        <v>76.0</v>
      </c>
    </row>
    <row r="27" ht="15.75" customHeight="1">
      <c r="A27" s="7" t="s">
        <v>37</v>
      </c>
      <c r="B27" s="9">
        <v>73.0</v>
      </c>
    </row>
    <row r="28" ht="15.75" customHeight="1">
      <c r="A28" s="7" t="s">
        <v>39</v>
      </c>
      <c r="B28" s="9">
        <v>58.0</v>
      </c>
    </row>
    <row r="29" ht="15.75" customHeight="1">
      <c r="A29" s="7" t="s">
        <v>41</v>
      </c>
      <c r="B29" s="9">
        <v>54.0</v>
      </c>
    </row>
    <row r="30" ht="15.75" customHeight="1">
      <c r="A30" s="7" t="s">
        <v>43</v>
      </c>
      <c r="B30" s="9">
        <v>50.0</v>
      </c>
    </row>
    <row r="31" ht="15.75" customHeight="1">
      <c r="A31" s="7" t="s">
        <v>45</v>
      </c>
      <c r="B31" s="9">
        <v>47.0</v>
      </c>
    </row>
    <row r="32" ht="15.75" customHeight="1">
      <c r="A32" s="7" t="s">
        <v>46</v>
      </c>
      <c r="B32" s="9">
        <v>43.0</v>
      </c>
    </row>
    <row r="33" ht="15.75" customHeight="1">
      <c r="A33" s="7" t="s">
        <v>48</v>
      </c>
      <c r="B33" s="9">
        <v>40.0</v>
      </c>
    </row>
    <row r="34" ht="15.75" customHeight="1">
      <c r="A34" s="7" t="s">
        <v>50</v>
      </c>
      <c r="B34" s="9">
        <v>40.0</v>
      </c>
    </row>
    <row r="35" ht="15.75" customHeight="1">
      <c r="A35" s="7" t="s">
        <v>51</v>
      </c>
      <c r="B35" s="9">
        <v>39.0</v>
      </c>
    </row>
    <row r="36" ht="15.75" customHeight="1">
      <c r="A36" s="7" t="s">
        <v>53</v>
      </c>
      <c r="B36" s="9">
        <v>32.0</v>
      </c>
    </row>
    <row r="37" ht="15.75" customHeight="1">
      <c r="A37" s="7" t="s">
        <v>54</v>
      </c>
      <c r="B37" s="9">
        <v>31.0</v>
      </c>
    </row>
    <row r="38" ht="15.75" customHeight="1">
      <c r="A38" s="7" t="s">
        <v>56</v>
      </c>
      <c r="B38" s="9">
        <v>27.0</v>
      </c>
    </row>
    <row r="39" ht="15.75" customHeight="1">
      <c r="A39" s="7" t="s">
        <v>58</v>
      </c>
      <c r="B39" s="9">
        <v>25.0</v>
      </c>
    </row>
    <row r="40" ht="15.75" customHeight="1">
      <c r="A40" s="7" t="s">
        <v>59</v>
      </c>
      <c r="B40" s="9">
        <v>24.0</v>
      </c>
    </row>
    <row r="41" ht="15.75" customHeight="1">
      <c r="A41" s="7" t="s">
        <v>61</v>
      </c>
      <c r="B41" s="9">
        <v>24.0</v>
      </c>
    </row>
    <row r="42" ht="15.75" customHeight="1">
      <c r="A42" s="7" t="s">
        <v>62</v>
      </c>
      <c r="B42" s="9">
        <v>23.0</v>
      </c>
    </row>
    <row r="43" ht="15.75" customHeight="1">
      <c r="A43" s="7" t="s">
        <v>64</v>
      </c>
      <c r="B43" s="9">
        <v>20.0</v>
      </c>
    </row>
    <row r="44" ht="15.75" customHeight="1">
      <c r="A44" s="7" t="s">
        <v>66</v>
      </c>
      <c r="B44" s="9">
        <v>18.0</v>
      </c>
    </row>
    <row r="45" ht="15.75" customHeight="1">
      <c r="A45" s="7" t="s">
        <v>67</v>
      </c>
      <c r="B45" s="9">
        <v>17.0</v>
      </c>
    </row>
    <row r="46" ht="15.75" customHeight="1">
      <c r="A46" s="7" t="s">
        <v>70</v>
      </c>
      <c r="B46" s="9">
        <v>16.0</v>
      </c>
    </row>
    <row r="47" ht="15.75" customHeight="1">
      <c r="A47" s="7" t="s">
        <v>72</v>
      </c>
      <c r="B47" s="9">
        <v>15.0</v>
      </c>
    </row>
    <row r="48" ht="15.75" customHeight="1">
      <c r="A48" s="7" t="s">
        <v>73</v>
      </c>
      <c r="B48" s="9">
        <v>13.0</v>
      </c>
    </row>
    <row r="49" ht="15.75" customHeight="1">
      <c r="A49" s="7" t="s">
        <v>75</v>
      </c>
      <c r="B49" s="9">
        <v>10.0</v>
      </c>
    </row>
    <row r="50" ht="15.75" customHeight="1">
      <c r="A50" s="7" t="s">
        <v>76</v>
      </c>
      <c r="B50" s="9">
        <v>9.0</v>
      </c>
    </row>
    <row r="51" ht="15.75" customHeight="1">
      <c r="A51" s="7" t="s">
        <v>78</v>
      </c>
      <c r="B51" s="9">
        <v>9.0</v>
      </c>
    </row>
    <row r="52" ht="15.75" customHeight="1">
      <c r="A52" s="7" t="s">
        <v>80</v>
      </c>
      <c r="B52" s="9">
        <v>8.0</v>
      </c>
    </row>
    <row r="53" ht="15.75" customHeight="1">
      <c r="A53" s="7" t="s">
        <v>81</v>
      </c>
      <c r="B53" s="9">
        <v>7.0</v>
      </c>
    </row>
    <row r="54" ht="15.75" customHeight="1">
      <c r="A54" s="7" t="s">
        <v>83</v>
      </c>
      <c r="B54" s="9">
        <v>7.0</v>
      </c>
    </row>
    <row r="55" ht="15.75" customHeight="1">
      <c r="A55" s="7" t="s">
        <v>85</v>
      </c>
      <c r="B55" s="9">
        <v>6.0</v>
      </c>
    </row>
    <row r="56" ht="15.75" customHeight="1">
      <c r="A56" s="7" t="s">
        <v>86</v>
      </c>
      <c r="B56" s="9">
        <v>6.0</v>
      </c>
    </row>
    <row r="57" ht="15.75" customHeight="1">
      <c r="A57" s="7" t="s">
        <v>88</v>
      </c>
      <c r="B57" s="9">
        <v>5.0</v>
      </c>
    </row>
    <row r="58" ht="15.75" customHeight="1">
      <c r="A58" s="7" t="s">
        <v>89</v>
      </c>
      <c r="B58" s="9">
        <v>5.0</v>
      </c>
    </row>
    <row r="59" ht="15.75" customHeight="1">
      <c r="A59" s="7" t="s">
        <v>91</v>
      </c>
      <c r="B59" s="9">
        <v>4.0</v>
      </c>
    </row>
    <row r="60" ht="15.75" customHeight="1">
      <c r="A60" s="7" t="s">
        <v>94</v>
      </c>
      <c r="B60" s="9">
        <v>4.0</v>
      </c>
    </row>
    <row r="61" ht="15.75" customHeight="1">
      <c r="A61" s="7" t="s">
        <v>95</v>
      </c>
      <c r="B61" s="9">
        <v>4.0</v>
      </c>
    </row>
    <row r="62" ht="15.75" customHeight="1">
      <c r="A62" s="7" t="s">
        <v>97</v>
      </c>
      <c r="B62" s="9">
        <v>4.0</v>
      </c>
    </row>
    <row r="63" ht="15.75" customHeight="1">
      <c r="A63" s="7" t="s">
        <v>98</v>
      </c>
      <c r="B63" s="9">
        <v>3.0</v>
      </c>
    </row>
    <row r="64" ht="15.75" customHeight="1">
      <c r="A64" s="7" t="s">
        <v>101</v>
      </c>
      <c r="B64" s="9">
        <v>2.0</v>
      </c>
    </row>
    <row r="65" ht="15.75" customHeight="1">
      <c r="A65" s="7" t="s">
        <v>102</v>
      </c>
      <c r="B65" s="9">
        <v>2.0</v>
      </c>
    </row>
    <row r="66" ht="15.75" customHeight="1"/>
    <row r="67" ht="15.75" customHeight="1"/>
    <row r="68" ht="15.75" customHeight="1"/>
    <row r="69" ht="15.75" customHeight="1">
      <c r="A69" s="2" t="s">
        <v>105</v>
      </c>
      <c r="B69" s="16"/>
      <c r="C69" s="3"/>
    </row>
    <row r="70" ht="15.75" customHeight="1">
      <c r="A70" s="1" t="s">
        <v>106</v>
      </c>
      <c r="B70" s="1" t="s">
        <v>110</v>
      </c>
      <c r="C70" s="1" t="s">
        <v>2</v>
      </c>
    </row>
    <row r="71" ht="15.75" customHeight="1">
      <c r="A71" s="7" t="s">
        <v>51</v>
      </c>
      <c r="B71" s="7" t="s">
        <v>112</v>
      </c>
      <c r="C71" s="9">
        <v>23.0</v>
      </c>
    </row>
    <row r="72" ht="15.75" customHeight="1">
      <c r="A72" s="7" t="s">
        <v>51</v>
      </c>
      <c r="B72" s="7" t="s">
        <v>114</v>
      </c>
      <c r="C72" s="9">
        <v>6.0</v>
      </c>
    </row>
    <row r="73" ht="15.75" customHeight="1">
      <c r="A73" s="7" t="s">
        <v>51</v>
      </c>
      <c r="B73" s="7" t="s">
        <v>116</v>
      </c>
      <c r="C73" s="9">
        <v>3.0</v>
      </c>
    </row>
    <row r="74" ht="15.75" customHeight="1">
      <c r="A74" s="7" t="s">
        <v>7</v>
      </c>
      <c r="B74" s="7" t="s">
        <v>117</v>
      </c>
      <c r="C74" s="9">
        <v>12.0</v>
      </c>
    </row>
    <row r="75" ht="15.75" customHeight="1">
      <c r="A75" s="7" t="s">
        <v>7</v>
      </c>
      <c r="B75" s="7" t="s">
        <v>120</v>
      </c>
      <c r="C75" s="9">
        <v>33.0</v>
      </c>
    </row>
    <row r="76" ht="15.75" customHeight="1">
      <c r="A76" s="7" t="s">
        <v>7</v>
      </c>
      <c r="B76" s="7" t="s">
        <v>122</v>
      </c>
      <c r="C76" s="9">
        <v>124.0</v>
      </c>
    </row>
    <row r="77" ht="15.75" customHeight="1">
      <c r="A77" s="7" t="s">
        <v>7</v>
      </c>
      <c r="B77" s="7" t="s">
        <v>123</v>
      </c>
      <c r="C77" s="9">
        <v>64.0</v>
      </c>
    </row>
    <row r="78" ht="15.75" customHeight="1">
      <c r="A78" s="7" t="s">
        <v>7</v>
      </c>
      <c r="B78" s="7" t="s">
        <v>126</v>
      </c>
      <c r="C78" s="9">
        <v>4.0</v>
      </c>
    </row>
    <row r="79" ht="15.75" customHeight="1">
      <c r="A79" s="7" t="s">
        <v>59</v>
      </c>
      <c r="B79" s="7" t="s">
        <v>128</v>
      </c>
      <c r="C79" s="9">
        <v>1.0</v>
      </c>
    </row>
    <row r="80" ht="15.75" customHeight="1">
      <c r="A80" s="7" t="s">
        <v>59</v>
      </c>
      <c r="B80" s="7" t="s">
        <v>130</v>
      </c>
      <c r="C80" s="9">
        <v>4.0</v>
      </c>
    </row>
    <row r="81" ht="15.75" customHeight="1">
      <c r="A81" s="7" t="s">
        <v>59</v>
      </c>
      <c r="B81" s="7" t="s">
        <v>131</v>
      </c>
      <c r="C81" s="9">
        <v>18.0</v>
      </c>
    </row>
    <row r="82" ht="15.75" customHeight="1">
      <c r="A82" s="7" t="s">
        <v>76</v>
      </c>
      <c r="B82" s="7" t="s">
        <v>133</v>
      </c>
      <c r="C82" s="9">
        <v>4.0</v>
      </c>
    </row>
    <row r="83" ht="15.75" customHeight="1">
      <c r="A83" s="7" t="s">
        <v>76</v>
      </c>
      <c r="B83" s="7" t="s">
        <v>135</v>
      </c>
      <c r="C83" s="9">
        <v>1.0</v>
      </c>
    </row>
    <row r="84" ht="15.75" customHeight="1">
      <c r="A84" s="7" t="s">
        <v>76</v>
      </c>
      <c r="B84" s="7" t="s">
        <v>136</v>
      </c>
      <c r="C84" s="9">
        <v>4.0</v>
      </c>
    </row>
    <row r="85" ht="15.75" customHeight="1">
      <c r="A85" s="7" t="s">
        <v>58</v>
      </c>
      <c r="B85" s="7" t="s">
        <v>141</v>
      </c>
      <c r="C85" s="9">
        <v>3.0</v>
      </c>
    </row>
    <row r="86" ht="15.75" customHeight="1">
      <c r="A86" s="7" t="s">
        <v>58</v>
      </c>
      <c r="B86" s="7" t="s">
        <v>142</v>
      </c>
      <c r="C86" s="9">
        <v>7.0</v>
      </c>
    </row>
    <row r="87" ht="15.75" customHeight="1">
      <c r="A87" s="7" t="s">
        <v>58</v>
      </c>
      <c r="B87" s="7" t="s">
        <v>144</v>
      </c>
      <c r="C87" s="9">
        <v>11.0</v>
      </c>
    </row>
    <row r="88" ht="15.75" customHeight="1">
      <c r="A88" s="7" t="s">
        <v>19</v>
      </c>
      <c r="B88" s="7" t="s">
        <v>146</v>
      </c>
      <c r="C88" s="9">
        <v>68.0</v>
      </c>
    </row>
    <row r="89" ht="15.75" customHeight="1">
      <c r="A89" s="7" t="s">
        <v>19</v>
      </c>
      <c r="B89" s="7" t="s">
        <v>149</v>
      </c>
      <c r="C89" s="9">
        <v>15.0</v>
      </c>
    </row>
    <row r="90" ht="15.75" customHeight="1">
      <c r="A90" s="7" t="s">
        <v>19</v>
      </c>
      <c r="B90" s="7" t="s">
        <v>152</v>
      </c>
      <c r="C90" s="9">
        <v>4.0</v>
      </c>
    </row>
    <row r="91" ht="15.75" customHeight="1">
      <c r="A91" s="7" t="s">
        <v>19</v>
      </c>
      <c r="B91" s="7" t="s">
        <v>154</v>
      </c>
      <c r="C91" s="9">
        <v>3.0</v>
      </c>
    </row>
    <row r="92" ht="15.75" customHeight="1">
      <c r="A92" s="7" t="s">
        <v>19</v>
      </c>
      <c r="B92" s="7" t="s">
        <v>157</v>
      </c>
      <c r="C92" s="9">
        <v>21.0</v>
      </c>
    </row>
    <row r="93" ht="15.75" customHeight="1">
      <c r="A93" s="7" t="s">
        <v>56</v>
      </c>
      <c r="B93" s="7" t="s">
        <v>159</v>
      </c>
      <c r="C93" s="9">
        <v>21.0</v>
      </c>
    </row>
    <row r="94" ht="15.75" customHeight="1">
      <c r="A94" s="7" t="s">
        <v>56</v>
      </c>
      <c r="B94" s="7" t="s">
        <v>162</v>
      </c>
      <c r="C94" s="9">
        <v>2.0</v>
      </c>
    </row>
    <row r="95" ht="15.75" customHeight="1">
      <c r="A95" s="7" t="s">
        <v>56</v>
      </c>
      <c r="B95" s="7" t="s">
        <v>164</v>
      </c>
      <c r="C95" s="9">
        <v>1.0</v>
      </c>
    </row>
    <row r="96" ht="15.75" customHeight="1">
      <c r="A96" s="7" t="s">
        <v>56</v>
      </c>
      <c r="B96" s="7" t="s">
        <v>167</v>
      </c>
      <c r="C96" s="9">
        <v>1.0</v>
      </c>
    </row>
    <row r="97" ht="15.75" customHeight="1">
      <c r="A97" s="7" t="s">
        <v>3</v>
      </c>
      <c r="B97" s="7" t="s">
        <v>169</v>
      </c>
      <c r="C97" s="9">
        <v>6.0</v>
      </c>
    </row>
    <row r="98" ht="15.75" customHeight="1">
      <c r="A98" s="7" t="s">
        <v>3</v>
      </c>
      <c r="B98" s="7" t="s">
        <v>171</v>
      </c>
      <c r="C98" s="9">
        <v>101.0</v>
      </c>
    </row>
    <row r="99" ht="15.75" customHeight="1">
      <c r="A99" s="7" t="s">
        <v>3</v>
      </c>
      <c r="B99" s="7" t="s">
        <v>174</v>
      </c>
      <c r="C99" s="9">
        <v>356.0</v>
      </c>
    </row>
    <row r="100" ht="15.75" customHeight="1">
      <c r="A100" s="7" t="s">
        <v>98</v>
      </c>
      <c r="B100" s="7" t="s">
        <v>177</v>
      </c>
      <c r="C100" s="9">
        <v>2.0</v>
      </c>
    </row>
    <row r="101" ht="15.75" customHeight="1">
      <c r="A101" s="7" t="s">
        <v>17</v>
      </c>
      <c r="B101" s="7" t="s">
        <v>179</v>
      </c>
      <c r="C101" s="9">
        <v>25.0</v>
      </c>
    </row>
    <row r="102" ht="15.75" customHeight="1">
      <c r="A102" s="7" t="s">
        <v>17</v>
      </c>
      <c r="B102" s="7" t="s">
        <v>182</v>
      </c>
      <c r="C102" s="9">
        <v>34.0</v>
      </c>
    </row>
    <row r="103" ht="15.75" customHeight="1">
      <c r="A103" s="7" t="s">
        <v>17</v>
      </c>
      <c r="B103" s="7" t="s">
        <v>184</v>
      </c>
      <c r="C103" s="9">
        <v>59.0</v>
      </c>
    </row>
    <row r="104" ht="15.75" customHeight="1">
      <c r="A104" s="7" t="s">
        <v>102</v>
      </c>
      <c r="B104" s="7" t="s">
        <v>187</v>
      </c>
      <c r="C104" s="9">
        <v>1.0</v>
      </c>
    </row>
    <row r="105" ht="15.75" customHeight="1">
      <c r="A105" s="7" t="s">
        <v>97</v>
      </c>
      <c r="B105" s="7" t="s">
        <v>189</v>
      </c>
      <c r="C105" s="9">
        <v>1.0</v>
      </c>
    </row>
    <row r="106" ht="15.75" customHeight="1">
      <c r="A106" s="7" t="s">
        <v>97</v>
      </c>
      <c r="B106" s="7" t="s">
        <v>191</v>
      </c>
      <c r="C106" s="9">
        <v>3.0</v>
      </c>
    </row>
    <row r="107" ht="15.75" customHeight="1">
      <c r="A107" s="7" t="s">
        <v>75</v>
      </c>
      <c r="B107" s="7" t="s">
        <v>194</v>
      </c>
      <c r="C107" s="9">
        <v>10.0</v>
      </c>
    </row>
    <row r="108" ht="15.75" customHeight="1">
      <c r="A108" s="7" t="s">
        <v>48</v>
      </c>
      <c r="B108" s="7" t="s">
        <v>196</v>
      </c>
      <c r="C108" s="9">
        <v>37.0</v>
      </c>
    </row>
    <row r="109" ht="15.75" customHeight="1">
      <c r="A109" s="7" t="s">
        <v>48</v>
      </c>
      <c r="B109" s="7" t="s">
        <v>199</v>
      </c>
      <c r="C109" s="9">
        <v>1.0</v>
      </c>
    </row>
    <row r="110" ht="15.75" customHeight="1">
      <c r="A110" s="7" t="s">
        <v>62</v>
      </c>
      <c r="B110" s="7" t="s">
        <v>201</v>
      </c>
      <c r="C110" s="9">
        <v>1.0</v>
      </c>
    </row>
    <row r="111" ht="15.75" customHeight="1">
      <c r="A111" s="7" t="s">
        <v>62</v>
      </c>
      <c r="B111" s="7" t="s">
        <v>205</v>
      </c>
      <c r="C111" s="9">
        <v>2.0</v>
      </c>
    </row>
    <row r="112" ht="15.75" customHeight="1">
      <c r="A112" s="7" t="s">
        <v>62</v>
      </c>
      <c r="B112" s="7" t="s">
        <v>207</v>
      </c>
      <c r="C112" s="9">
        <v>1.0</v>
      </c>
    </row>
    <row r="113" ht="15.75" customHeight="1">
      <c r="A113" s="7" t="s">
        <v>62</v>
      </c>
      <c r="B113" s="7" t="s">
        <v>209</v>
      </c>
      <c r="C113" s="9">
        <v>1.0</v>
      </c>
    </row>
    <row r="114" ht="15.75" customHeight="1">
      <c r="A114" s="7" t="s">
        <v>62</v>
      </c>
      <c r="B114" s="7" t="s">
        <v>212</v>
      </c>
      <c r="C114" s="9">
        <v>11.0</v>
      </c>
    </row>
    <row r="115" ht="15.75" customHeight="1">
      <c r="A115" s="7" t="s">
        <v>62</v>
      </c>
      <c r="B115" s="7" t="s">
        <v>215</v>
      </c>
      <c r="C115" s="9">
        <v>4.0</v>
      </c>
    </row>
    <row r="116" ht="15.75" customHeight="1">
      <c r="A116" s="7" t="s">
        <v>46</v>
      </c>
      <c r="B116" s="7" t="s">
        <v>217</v>
      </c>
      <c r="C116" s="9">
        <v>25.0</v>
      </c>
    </row>
    <row r="117" ht="15.75" customHeight="1">
      <c r="A117" s="7" t="s">
        <v>46</v>
      </c>
      <c r="B117" s="7" t="s">
        <v>221</v>
      </c>
      <c r="C117" s="9">
        <v>15.0</v>
      </c>
    </row>
    <row r="118" ht="15.75" customHeight="1">
      <c r="A118" s="7" t="s">
        <v>85</v>
      </c>
      <c r="B118" s="7" t="s">
        <v>223</v>
      </c>
      <c r="C118" s="9">
        <v>2.0</v>
      </c>
    </row>
    <row r="119" ht="15.75" customHeight="1">
      <c r="A119" s="7" t="s">
        <v>85</v>
      </c>
      <c r="B119" s="7" t="s">
        <v>226</v>
      </c>
      <c r="C119" s="9">
        <v>2.0</v>
      </c>
    </row>
    <row r="120" ht="15.75" customHeight="1">
      <c r="A120" s="7" t="s">
        <v>22</v>
      </c>
      <c r="B120" s="7" t="s">
        <v>228</v>
      </c>
      <c r="C120" s="9">
        <v>7.0</v>
      </c>
    </row>
    <row r="121" ht="15.75" customHeight="1">
      <c r="A121" s="7" t="s">
        <v>22</v>
      </c>
      <c r="B121" s="7" t="s">
        <v>231</v>
      </c>
      <c r="C121" s="9">
        <v>2.0</v>
      </c>
    </row>
    <row r="122" ht="15.75" customHeight="1">
      <c r="A122" s="7" t="s">
        <v>22</v>
      </c>
      <c r="B122" s="7" t="s">
        <v>233</v>
      </c>
      <c r="C122" s="9">
        <v>2.0</v>
      </c>
    </row>
    <row r="123" ht="15.75" customHeight="1">
      <c r="A123" s="7" t="s">
        <v>22</v>
      </c>
      <c r="B123" s="7" t="s">
        <v>235</v>
      </c>
      <c r="C123" s="9">
        <v>7.0</v>
      </c>
    </row>
    <row r="124" ht="15.75" customHeight="1">
      <c r="A124" s="7" t="s">
        <v>22</v>
      </c>
      <c r="B124" s="7" t="s">
        <v>238</v>
      </c>
      <c r="C124" s="9">
        <v>16.0</v>
      </c>
    </row>
    <row r="125" ht="15.75" customHeight="1">
      <c r="A125" s="7" t="s">
        <v>22</v>
      </c>
      <c r="B125" s="7" t="s">
        <v>240</v>
      </c>
      <c r="C125" s="9">
        <v>47.0</v>
      </c>
    </row>
    <row r="126" ht="15.75" customHeight="1">
      <c r="A126" s="7" t="s">
        <v>21</v>
      </c>
      <c r="B126" s="7" t="s">
        <v>243</v>
      </c>
      <c r="C126" s="9">
        <v>8.0</v>
      </c>
    </row>
    <row r="127" ht="15.75" customHeight="1">
      <c r="A127" s="7" t="s">
        <v>21</v>
      </c>
      <c r="B127" s="7" t="s">
        <v>249</v>
      </c>
      <c r="C127" s="9">
        <v>2.0</v>
      </c>
    </row>
    <row r="128" ht="15.75" customHeight="1">
      <c r="A128" s="7" t="s">
        <v>21</v>
      </c>
      <c r="B128" s="7" t="s">
        <v>252</v>
      </c>
      <c r="C128" s="9">
        <v>11.0</v>
      </c>
    </row>
    <row r="129" ht="15.75" customHeight="1">
      <c r="A129" s="7" t="s">
        <v>21</v>
      </c>
      <c r="B129" s="7" t="s">
        <v>254</v>
      </c>
      <c r="C129" s="9">
        <v>27.0</v>
      </c>
    </row>
    <row r="130" ht="15.75" customHeight="1">
      <c r="A130" s="7" t="s">
        <v>21</v>
      </c>
      <c r="B130" s="7" t="s">
        <v>257</v>
      </c>
      <c r="C130" s="9">
        <v>59.0</v>
      </c>
    </row>
    <row r="131" ht="15.75" customHeight="1">
      <c r="A131" s="7" t="s">
        <v>9</v>
      </c>
      <c r="B131" s="7" t="s">
        <v>260</v>
      </c>
      <c r="C131" s="9">
        <v>61.0</v>
      </c>
    </row>
    <row r="132" ht="15.75" customHeight="1">
      <c r="A132" s="7" t="s">
        <v>9</v>
      </c>
      <c r="B132" s="7" t="s">
        <v>262</v>
      </c>
      <c r="C132" s="9">
        <v>126.0</v>
      </c>
    </row>
    <row r="133" ht="15.75" customHeight="1">
      <c r="A133" s="7" t="s">
        <v>45</v>
      </c>
      <c r="B133" s="7" t="s">
        <v>265</v>
      </c>
      <c r="C133" s="9">
        <v>31.0</v>
      </c>
    </row>
    <row r="134" ht="15.75" customHeight="1">
      <c r="A134" s="7" t="s">
        <v>45</v>
      </c>
      <c r="B134" s="7" t="s">
        <v>267</v>
      </c>
      <c r="C134" s="9">
        <v>2.0</v>
      </c>
    </row>
    <row r="135" ht="15.75" customHeight="1">
      <c r="A135" s="7" t="s">
        <v>45</v>
      </c>
      <c r="B135" s="7" t="s">
        <v>269</v>
      </c>
      <c r="C135" s="9">
        <v>4.0</v>
      </c>
    </row>
    <row r="136" ht="15.75" customHeight="1">
      <c r="A136" s="7" t="s">
        <v>45</v>
      </c>
      <c r="B136" s="7" t="s">
        <v>271</v>
      </c>
      <c r="C136" s="9">
        <v>1.0</v>
      </c>
    </row>
    <row r="137" ht="15.75" customHeight="1">
      <c r="A137" s="7" t="s">
        <v>5</v>
      </c>
      <c r="B137" s="7" t="s">
        <v>272</v>
      </c>
      <c r="C137" s="9">
        <v>1.0</v>
      </c>
    </row>
    <row r="138" ht="15.75" customHeight="1">
      <c r="A138" s="7" t="s">
        <v>5</v>
      </c>
      <c r="B138" s="7" t="s">
        <v>273</v>
      </c>
      <c r="C138" s="9">
        <v>17.0</v>
      </c>
    </row>
    <row r="139" ht="15.75" customHeight="1">
      <c r="A139" s="7" t="s">
        <v>5</v>
      </c>
      <c r="B139" s="7" t="s">
        <v>274</v>
      </c>
      <c r="C139" s="9">
        <v>300.0</v>
      </c>
    </row>
    <row r="140" ht="15.75" customHeight="1">
      <c r="A140" s="7" t="s">
        <v>5</v>
      </c>
      <c r="B140" s="7" t="s">
        <v>276</v>
      </c>
      <c r="C140" s="9">
        <v>48.0</v>
      </c>
    </row>
    <row r="141" ht="15.75" customHeight="1">
      <c r="A141" s="7" t="s">
        <v>5</v>
      </c>
      <c r="B141" s="7" t="s">
        <v>279</v>
      </c>
      <c r="C141" s="9">
        <v>6.0</v>
      </c>
    </row>
    <row r="142" ht="15.75" customHeight="1">
      <c r="A142" s="7" t="s">
        <v>5</v>
      </c>
      <c r="B142" s="7" t="s">
        <v>282</v>
      </c>
      <c r="C142" s="9">
        <v>9.0</v>
      </c>
    </row>
    <row r="143" ht="15.75" customHeight="1">
      <c r="A143" s="7" t="s">
        <v>67</v>
      </c>
      <c r="B143" s="7" t="s">
        <v>285</v>
      </c>
      <c r="C143" s="9">
        <v>4.0</v>
      </c>
    </row>
    <row r="144" ht="15.75" customHeight="1">
      <c r="A144" s="7" t="s">
        <v>67</v>
      </c>
      <c r="B144" s="7" t="s">
        <v>287</v>
      </c>
      <c r="C144" s="9">
        <v>2.0</v>
      </c>
    </row>
    <row r="145" ht="15.75" customHeight="1">
      <c r="A145" s="7" t="s">
        <v>67</v>
      </c>
      <c r="B145" s="7" t="s">
        <v>289</v>
      </c>
      <c r="C145" s="9">
        <v>7.0</v>
      </c>
    </row>
    <row r="146" ht="15.75" customHeight="1">
      <c r="A146" s="7" t="s">
        <v>27</v>
      </c>
      <c r="B146" s="7" t="s">
        <v>292</v>
      </c>
      <c r="C146" s="9">
        <v>38.0</v>
      </c>
    </row>
    <row r="147" ht="15.75" customHeight="1">
      <c r="A147" s="7" t="s">
        <v>27</v>
      </c>
      <c r="B147" s="7" t="s">
        <v>294</v>
      </c>
      <c r="C147" s="9">
        <v>2.0</v>
      </c>
    </row>
    <row r="148" ht="15.75" customHeight="1">
      <c r="A148" s="7" t="s">
        <v>27</v>
      </c>
      <c r="B148" s="7" t="s">
        <v>295</v>
      </c>
      <c r="C148" s="9">
        <v>9.0</v>
      </c>
    </row>
    <row r="149" ht="15.75" customHeight="1">
      <c r="A149" s="7" t="s">
        <v>27</v>
      </c>
      <c r="B149" s="7" t="s">
        <v>298</v>
      </c>
      <c r="C149" s="9">
        <v>24.0</v>
      </c>
    </row>
    <row r="150" ht="15.75" customHeight="1">
      <c r="A150" s="7" t="s">
        <v>53</v>
      </c>
      <c r="B150" s="7" t="s">
        <v>301</v>
      </c>
      <c r="C150" s="9">
        <v>16.0</v>
      </c>
    </row>
    <row r="151" ht="15.75" customHeight="1">
      <c r="A151" s="7" t="s">
        <v>53</v>
      </c>
      <c r="B151" s="7" t="s">
        <v>304</v>
      </c>
      <c r="C151" s="9">
        <v>3.0</v>
      </c>
    </row>
    <row r="152" ht="15.75" customHeight="1">
      <c r="A152" s="7" t="s">
        <v>53</v>
      </c>
      <c r="B152" s="7" t="s">
        <v>306</v>
      </c>
      <c r="C152" s="9">
        <v>12.0</v>
      </c>
    </row>
    <row r="153" ht="15.75" customHeight="1">
      <c r="A153" s="7" t="s">
        <v>4</v>
      </c>
      <c r="B153" s="7" t="s">
        <v>308</v>
      </c>
      <c r="C153" s="9">
        <v>53.0</v>
      </c>
    </row>
    <row r="154" ht="15.75" customHeight="1">
      <c r="A154" s="7" t="s">
        <v>4</v>
      </c>
      <c r="B154" s="7" t="s">
        <v>311</v>
      </c>
      <c r="C154" s="9">
        <v>143.0</v>
      </c>
    </row>
    <row r="155" ht="15.75" customHeight="1">
      <c r="A155" s="7" t="s">
        <v>4</v>
      </c>
      <c r="B155" s="7" t="s">
        <v>313</v>
      </c>
      <c r="C155" s="9">
        <v>15.0</v>
      </c>
    </row>
    <row r="156" ht="15.75" customHeight="1">
      <c r="A156" s="7" t="s">
        <v>4</v>
      </c>
      <c r="B156" s="7" t="s">
        <v>315</v>
      </c>
      <c r="C156" s="9">
        <v>126.0</v>
      </c>
    </row>
    <row r="157" ht="15.75" customHeight="1">
      <c r="A157" s="7" t="s">
        <v>4</v>
      </c>
      <c r="B157" s="7" t="s">
        <v>318</v>
      </c>
      <c r="C157" s="9">
        <v>16.0</v>
      </c>
    </row>
    <row r="158" ht="15.75" customHeight="1">
      <c r="A158" s="7" t="s">
        <v>4</v>
      </c>
      <c r="B158" s="7" t="s">
        <v>320</v>
      </c>
      <c r="C158" s="9">
        <v>103.0</v>
      </c>
    </row>
    <row r="159" ht="15.75" customHeight="1">
      <c r="A159" s="7" t="s">
        <v>10</v>
      </c>
      <c r="B159" s="7" t="s">
        <v>322</v>
      </c>
      <c r="C159" s="9">
        <v>21.0</v>
      </c>
    </row>
    <row r="160" ht="15.75" customHeight="1">
      <c r="A160" s="7" t="s">
        <v>10</v>
      </c>
      <c r="B160" s="7" t="s">
        <v>325</v>
      </c>
      <c r="C160" s="9">
        <v>39.0</v>
      </c>
    </row>
    <row r="161" ht="15.75" customHeight="1">
      <c r="A161" s="7" t="s">
        <v>10</v>
      </c>
      <c r="B161" s="7" t="s">
        <v>327</v>
      </c>
      <c r="C161" s="9">
        <v>12.0</v>
      </c>
    </row>
    <row r="162" ht="15.75" customHeight="1">
      <c r="A162" s="7" t="s">
        <v>10</v>
      </c>
      <c r="B162" s="7" t="s">
        <v>329</v>
      </c>
      <c r="C162" s="9">
        <v>49.0</v>
      </c>
    </row>
    <row r="163" ht="15.75" customHeight="1">
      <c r="A163" s="7" t="s">
        <v>10</v>
      </c>
      <c r="B163" s="7" t="s">
        <v>332</v>
      </c>
      <c r="C163" s="9">
        <v>110.0</v>
      </c>
    </row>
    <row r="164" ht="15.75" customHeight="1">
      <c r="A164" s="7" t="s">
        <v>70</v>
      </c>
      <c r="C164" s="9">
        <v>13.0</v>
      </c>
    </row>
    <row r="165" ht="15.75" customHeight="1">
      <c r="A165" s="7" t="s">
        <v>61</v>
      </c>
      <c r="B165" s="7" t="s">
        <v>335</v>
      </c>
      <c r="C165" s="9">
        <v>22.0</v>
      </c>
    </row>
    <row r="166" ht="15.75" customHeight="1">
      <c r="A166" s="7" t="s">
        <v>61</v>
      </c>
      <c r="B166" s="7" t="s">
        <v>338</v>
      </c>
      <c r="C166" s="9">
        <v>1.0</v>
      </c>
    </row>
    <row r="167" ht="15.75" customHeight="1">
      <c r="A167" s="7" t="s">
        <v>12</v>
      </c>
      <c r="B167" s="7" t="s">
        <v>340</v>
      </c>
      <c r="C167" s="9">
        <v>14.0</v>
      </c>
    </row>
    <row r="168" ht="15.75" customHeight="1">
      <c r="A168" s="7" t="s">
        <v>12</v>
      </c>
      <c r="B168" s="7" t="s">
        <v>343</v>
      </c>
      <c r="C168" s="9">
        <v>54.0</v>
      </c>
    </row>
    <row r="169" ht="15.75" customHeight="1">
      <c r="A169" s="7" t="s">
        <v>12</v>
      </c>
      <c r="B169" s="7" t="s">
        <v>345</v>
      </c>
      <c r="C169" s="9">
        <v>85.0</v>
      </c>
    </row>
    <row r="170" ht="15.75" customHeight="1">
      <c r="A170" s="7" t="s">
        <v>37</v>
      </c>
      <c r="B170" s="7" t="s">
        <v>347</v>
      </c>
      <c r="C170" s="9">
        <v>11.0</v>
      </c>
    </row>
    <row r="171" ht="15.75" customHeight="1">
      <c r="A171" s="7" t="s">
        <v>37</v>
      </c>
      <c r="B171" s="7" t="s">
        <v>350</v>
      </c>
      <c r="C171" s="9">
        <v>35.0</v>
      </c>
    </row>
    <row r="172" ht="15.75" customHeight="1">
      <c r="A172" s="7" t="s">
        <v>37</v>
      </c>
      <c r="B172" s="7" t="s">
        <v>352</v>
      </c>
      <c r="C172" s="9">
        <v>7.0</v>
      </c>
    </row>
    <row r="173" ht="15.75" customHeight="1">
      <c r="A173" s="7" t="s">
        <v>37</v>
      </c>
      <c r="B173" s="7" t="s">
        <v>355</v>
      </c>
      <c r="C173" s="9">
        <v>18.0</v>
      </c>
    </row>
    <row r="174" ht="15.75" customHeight="1">
      <c r="A174" s="7" t="s">
        <v>14</v>
      </c>
      <c r="B174" s="7" t="s">
        <v>357</v>
      </c>
      <c r="C174" s="9">
        <v>16.0</v>
      </c>
    </row>
    <row r="175" ht="15.75" customHeight="1">
      <c r="A175" s="7" t="s">
        <v>14</v>
      </c>
      <c r="B175" s="7" t="s">
        <v>359</v>
      </c>
      <c r="C175" s="9">
        <v>11.0</v>
      </c>
    </row>
    <row r="176" ht="15.75" customHeight="1">
      <c r="A176" s="7" t="s">
        <v>14</v>
      </c>
      <c r="B176" s="7" t="s">
        <v>362</v>
      </c>
      <c r="C176" s="9">
        <v>1.0</v>
      </c>
    </row>
    <row r="177" ht="15.75" customHeight="1">
      <c r="A177" s="7" t="s">
        <v>14</v>
      </c>
      <c r="B177" s="7" t="s">
        <v>364</v>
      </c>
      <c r="C177" s="9">
        <v>16.0</v>
      </c>
    </row>
    <row r="178" ht="15.75" customHeight="1">
      <c r="A178" s="7" t="s">
        <v>14</v>
      </c>
      <c r="B178" s="7" t="s">
        <v>366</v>
      </c>
      <c r="C178" s="9">
        <v>77.0</v>
      </c>
    </row>
    <row r="179" ht="15.75" customHeight="1">
      <c r="A179" s="7" t="s">
        <v>54</v>
      </c>
      <c r="B179" s="7" t="s">
        <v>370</v>
      </c>
      <c r="C179" s="9">
        <v>4.0</v>
      </c>
    </row>
    <row r="180" ht="15.75" customHeight="1">
      <c r="A180" s="7" t="s">
        <v>54</v>
      </c>
      <c r="B180" s="7" t="s">
        <v>371</v>
      </c>
      <c r="C180" s="9">
        <v>8.0</v>
      </c>
    </row>
    <row r="181" ht="15.75" customHeight="1">
      <c r="A181" s="7" t="s">
        <v>54</v>
      </c>
      <c r="B181" s="7" t="s">
        <v>372</v>
      </c>
      <c r="C181" s="9">
        <v>4.0</v>
      </c>
    </row>
    <row r="182" ht="15.75" customHeight="1">
      <c r="A182" s="7" t="s">
        <v>54</v>
      </c>
      <c r="B182" s="7" t="s">
        <v>373</v>
      </c>
      <c r="C182" s="9">
        <v>1.0</v>
      </c>
    </row>
    <row r="183" ht="15.75" customHeight="1">
      <c r="A183" s="7" t="s">
        <v>54</v>
      </c>
      <c r="B183" s="7" t="s">
        <v>374</v>
      </c>
      <c r="C183" s="9">
        <v>4.0</v>
      </c>
    </row>
    <row r="184" ht="15.75" customHeight="1">
      <c r="A184" s="7" t="s">
        <v>54</v>
      </c>
      <c r="B184" s="7" t="s">
        <v>375</v>
      </c>
      <c r="C184" s="9">
        <v>5.0</v>
      </c>
    </row>
    <row r="185" ht="15.75" customHeight="1">
      <c r="A185" s="7" t="s">
        <v>31</v>
      </c>
      <c r="B185" s="7" t="s">
        <v>376</v>
      </c>
      <c r="C185" s="9">
        <v>2.0</v>
      </c>
    </row>
    <row r="186" ht="15.75" customHeight="1">
      <c r="A186" s="7" t="s">
        <v>31</v>
      </c>
      <c r="B186" s="7" t="s">
        <v>377</v>
      </c>
      <c r="C186" s="9">
        <v>8.0</v>
      </c>
    </row>
    <row r="187" ht="15.75" customHeight="1">
      <c r="A187" s="7" t="s">
        <v>31</v>
      </c>
      <c r="B187" s="7" t="s">
        <v>378</v>
      </c>
      <c r="C187" s="9">
        <v>51.0</v>
      </c>
    </row>
    <row r="188" ht="15.75" customHeight="1">
      <c r="A188" s="7" t="s">
        <v>31</v>
      </c>
      <c r="B188" s="7" t="s">
        <v>379</v>
      </c>
      <c r="C188" s="9">
        <v>11.0</v>
      </c>
    </row>
    <row r="189" ht="15.75" customHeight="1">
      <c r="A189" s="7" t="s">
        <v>31</v>
      </c>
      <c r="B189" s="7" t="s">
        <v>380</v>
      </c>
      <c r="C189" s="9">
        <v>9.0</v>
      </c>
    </row>
    <row r="190" ht="15.75" customHeight="1">
      <c r="A190" s="7" t="s">
        <v>31</v>
      </c>
      <c r="B190" s="7" t="s">
        <v>381</v>
      </c>
      <c r="C190" s="9">
        <v>2.0</v>
      </c>
    </row>
    <row r="191" ht="15.75" customHeight="1">
      <c r="A191" s="7" t="s">
        <v>29</v>
      </c>
      <c r="B191" s="7" t="s">
        <v>382</v>
      </c>
      <c r="C191" s="9">
        <v>14.0</v>
      </c>
    </row>
    <row r="192" ht="15.75" customHeight="1">
      <c r="A192" s="7" t="s">
        <v>29</v>
      </c>
      <c r="B192" s="7" t="s">
        <v>383</v>
      </c>
      <c r="C192" s="9">
        <v>21.0</v>
      </c>
    </row>
    <row r="193" ht="15.75" customHeight="1">
      <c r="A193" s="7" t="s">
        <v>29</v>
      </c>
      <c r="B193" s="7" t="s">
        <v>384</v>
      </c>
      <c r="C193" s="9">
        <v>34.0</v>
      </c>
    </row>
    <row r="194" ht="15.75" customHeight="1">
      <c r="A194" s="7" t="s">
        <v>29</v>
      </c>
      <c r="B194" s="7" t="s">
        <v>385</v>
      </c>
      <c r="C194" s="9">
        <v>1.0</v>
      </c>
    </row>
    <row r="195" ht="15.75" customHeight="1">
      <c r="A195" s="7" t="s">
        <v>29</v>
      </c>
      <c r="B195" s="7" t="s">
        <v>386</v>
      </c>
      <c r="C195" s="9">
        <v>18.0</v>
      </c>
    </row>
    <row r="196" ht="15.75" customHeight="1">
      <c r="A196" s="7" t="s">
        <v>34</v>
      </c>
      <c r="B196" s="7" t="s">
        <v>387</v>
      </c>
      <c r="C196" s="9">
        <v>10.0</v>
      </c>
    </row>
    <row r="197" ht="15.75" customHeight="1">
      <c r="A197" s="7" t="s">
        <v>34</v>
      </c>
      <c r="B197" s="7" t="s">
        <v>388</v>
      </c>
      <c r="C197" s="9">
        <v>14.0</v>
      </c>
    </row>
    <row r="198" ht="15.75" customHeight="1">
      <c r="A198" s="7" t="s">
        <v>34</v>
      </c>
      <c r="B198" s="7" t="s">
        <v>389</v>
      </c>
      <c r="C198" s="9">
        <v>14.0</v>
      </c>
    </row>
    <row r="199" ht="15.75" customHeight="1">
      <c r="A199" s="7" t="s">
        <v>34</v>
      </c>
      <c r="B199" s="7" t="s">
        <v>390</v>
      </c>
      <c r="C199" s="9">
        <v>5.0</v>
      </c>
    </row>
    <row r="200" ht="15.75" customHeight="1">
      <c r="A200" s="7" t="s">
        <v>34</v>
      </c>
      <c r="B200" s="7" t="s">
        <v>391</v>
      </c>
      <c r="C200" s="9">
        <v>23.0</v>
      </c>
    </row>
    <row r="201" ht="15.75" customHeight="1">
      <c r="A201" s="7" t="s">
        <v>50</v>
      </c>
      <c r="B201" s="7" t="s">
        <v>392</v>
      </c>
      <c r="C201" s="9">
        <v>1.0</v>
      </c>
    </row>
    <row r="202" ht="15.75" customHeight="1">
      <c r="A202" s="7" t="s">
        <v>50</v>
      </c>
      <c r="B202" s="7" t="s">
        <v>393</v>
      </c>
      <c r="C202" s="9">
        <v>34.0</v>
      </c>
    </row>
    <row r="203" ht="15.75" customHeight="1">
      <c r="A203" s="7" t="s">
        <v>50</v>
      </c>
      <c r="B203" s="7" t="s">
        <v>394</v>
      </c>
      <c r="C203" s="9">
        <v>1.0</v>
      </c>
    </row>
    <row r="204" ht="15.75" customHeight="1">
      <c r="A204" s="7" t="s">
        <v>50</v>
      </c>
      <c r="B204" s="7" t="s">
        <v>396</v>
      </c>
      <c r="C204" s="9">
        <v>2.0</v>
      </c>
    </row>
    <row r="205" ht="15.75" customHeight="1">
      <c r="A205" s="7" t="s">
        <v>89</v>
      </c>
      <c r="B205" s="7" t="s">
        <v>397</v>
      </c>
      <c r="C205" s="9">
        <v>2.0</v>
      </c>
    </row>
    <row r="206" ht="15.75" customHeight="1">
      <c r="A206" s="7" t="s">
        <v>78</v>
      </c>
      <c r="B206" s="7" t="s">
        <v>398</v>
      </c>
      <c r="C206" s="9">
        <v>9.0</v>
      </c>
    </row>
    <row r="207" ht="15.75" customHeight="1">
      <c r="A207" s="7" t="s">
        <v>16</v>
      </c>
      <c r="B207" s="7" t="s">
        <v>399</v>
      </c>
      <c r="C207" s="9">
        <v>15.0</v>
      </c>
    </row>
    <row r="208" ht="15.75" customHeight="1">
      <c r="A208" s="7" t="s">
        <v>16</v>
      </c>
      <c r="B208" s="7" t="s">
        <v>400</v>
      </c>
      <c r="C208" s="9">
        <v>19.0</v>
      </c>
    </row>
    <row r="209" ht="15.75" customHeight="1">
      <c r="A209" s="7" t="s">
        <v>16</v>
      </c>
      <c r="B209" s="7" t="s">
        <v>401</v>
      </c>
      <c r="C209" s="9">
        <v>37.0</v>
      </c>
    </row>
    <row r="210" ht="15.75" customHeight="1">
      <c r="A210" s="7" t="s">
        <v>16</v>
      </c>
      <c r="B210" s="7" t="s">
        <v>402</v>
      </c>
      <c r="C210" s="9">
        <v>2.0</v>
      </c>
    </row>
    <row r="211" ht="15.75" customHeight="1">
      <c r="A211" s="7" t="s">
        <v>16</v>
      </c>
      <c r="B211" s="7" t="s">
        <v>404</v>
      </c>
      <c r="C211" s="9">
        <v>14.0</v>
      </c>
    </row>
    <row r="212" ht="15.75" customHeight="1">
      <c r="A212" s="7" t="s">
        <v>16</v>
      </c>
      <c r="B212" s="7" t="s">
        <v>405</v>
      </c>
      <c r="C212" s="9">
        <v>14.0</v>
      </c>
    </row>
    <row r="213" ht="15.75" customHeight="1">
      <c r="A213" s="7" t="s">
        <v>24</v>
      </c>
      <c r="B213" s="7" t="s">
        <v>406</v>
      </c>
      <c r="C213" s="9">
        <v>10.0</v>
      </c>
    </row>
    <row r="214" ht="15.75" customHeight="1">
      <c r="A214" s="7" t="s">
        <v>24</v>
      </c>
      <c r="B214" s="7" t="s">
        <v>407</v>
      </c>
      <c r="C214" s="9">
        <v>3.0</v>
      </c>
    </row>
    <row r="215" ht="15.75" customHeight="1">
      <c r="A215" s="7" t="s">
        <v>24</v>
      </c>
      <c r="B215" s="7" t="s">
        <v>409</v>
      </c>
      <c r="C215" s="9">
        <v>32.0</v>
      </c>
    </row>
    <row r="216" ht="15.75" customHeight="1">
      <c r="A216" s="7" t="s">
        <v>24</v>
      </c>
      <c r="B216" s="7" t="s">
        <v>410</v>
      </c>
      <c r="C216" s="9">
        <v>6.0</v>
      </c>
    </row>
    <row r="217" ht="15.75" customHeight="1">
      <c r="A217" s="7" t="s">
        <v>24</v>
      </c>
      <c r="B217" s="7" t="s">
        <v>411</v>
      </c>
      <c r="C217" s="9">
        <v>44.0</v>
      </c>
    </row>
    <row r="218" ht="15.75" customHeight="1">
      <c r="A218" s="7" t="s">
        <v>11</v>
      </c>
      <c r="B218" s="7" t="s">
        <v>412</v>
      </c>
      <c r="C218" s="9">
        <v>7.0</v>
      </c>
    </row>
    <row r="219" ht="15.75" customHeight="1">
      <c r="A219" s="7" t="s">
        <v>11</v>
      </c>
      <c r="B219" s="7" t="s">
        <v>413</v>
      </c>
      <c r="C219" s="9">
        <v>167.0</v>
      </c>
    </row>
    <row r="220" ht="15.75" customHeight="1">
      <c r="A220" s="7" t="s">
        <v>91</v>
      </c>
      <c r="B220" s="7" t="s">
        <v>415</v>
      </c>
      <c r="C220" s="9">
        <v>4.0</v>
      </c>
    </row>
    <row r="221" ht="15.75" customHeight="1">
      <c r="A221" s="7" t="s">
        <v>73</v>
      </c>
      <c r="B221" s="7" t="s">
        <v>416</v>
      </c>
      <c r="C221" s="9">
        <v>6.0</v>
      </c>
    </row>
    <row r="222" ht="15.75" customHeight="1">
      <c r="A222" s="7" t="s">
        <v>73</v>
      </c>
      <c r="B222" s="7" t="s">
        <v>417</v>
      </c>
      <c r="C222" s="9">
        <v>1.0</v>
      </c>
    </row>
    <row r="223" ht="15.75" customHeight="1">
      <c r="A223" s="7" t="s">
        <v>73</v>
      </c>
      <c r="B223" s="7" t="s">
        <v>418</v>
      </c>
      <c r="C223" s="9">
        <v>1.0</v>
      </c>
    </row>
    <row r="224" ht="15.75" customHeight="1">
      <c r="A224" s="7" t="s">
        <v>72</v>
      </c>
      <c r="B224" s="7" t="s">
        <v>419</v>
      </c>
      <c r="C224" s="9">
        <v>4.0</v>
      </c>
    </row>
    <row r="225" ht="15.75" customHeight="1">
      <c r="A225" s="7" t="s">
        <v>72</v>
      </c>
      <c r="B225" s="7" t="s">
        <v>420</v>
      </c>
      <c r="C225" s="9">
        <v>1.0</v>
      </c>
    </row>
    <row r="226" ht="15.75" customHeight="1">
      <c r="A226" s="7" t="s">
        <v>43</v>
      </c>
      <c r="B226" s="7" t="s">
        <v>422</v>
      </c>
      <c r="C226" s="9">
        <v>7.0</v>
      </c>
    </row>
    <row r="227" ht="15.75" customHeight="1">
      <c r="A227" s="7" t="s">
        <v>43</v>
      </c>
      <c r="B227" s="7" t="s">
        <v>423</v>
      </c>
      <c r="C227" s="9">
        <v>4.0</v>
      </c>
    </row>
    <row r="228" ht="15.75" customHeight="1">
      <c r="A228" s="7" t="s">
        <v>43</v>
      </c>
      <c r="B228" s="7" t="s">
        <v>424</v>
      </c>
      <c r="C228" s="9">
        <v>18.0</v>
      </c>
    </row>
    <row r="229" ht="15.75" customHeight="1">
      <c r="A229" s="7" t="s">
        <v>43</v>
      </c>
      <c r="B229" s="7" t="s">
        <v>425</v>
      </c>
      <c r="C229" s="9">
        <v>10.0</v>
      </c>
    </row>
    <row r="230" ht="15.75" customHeight="1">
      <c r="A230" s="7" t="s">
        <v>43</v>
      </c>
      <c r="B230" s="7" t="s">
        <v>426</v>
      </c>
      <c r="C230" s="9">
        <v>2.0</v>
      </c>
    </row>
    <row r="231" ht="15.75" customHeight="1">
      <c r="A231" s="7" t="s">
        <v>43</v>
      </c>
      <c r="B231" s="7" t="s">
        <v>427</v>
      </c>
      <c r="C231" s="9">
        <v>6.0</v>
      </c>
    </row>
    <row r="232" ht="15.75" customHeight="1">
      <c r="A232" s="7" t="s">
        <v>43</v>
      </c>
      <c r="B232" s="7" t="s">
        <v>428</v>
      </c>
      <c r="C232" s="9">
        <v>1.0</v>
      </c>
    </row>
    <row r="233" ht="15.75" customHeight="1">
      <c r="A233" s="7" t="s">
        <v>86</v>
      </c>
      <c r="B233" s="7" t="s">
        <v>429</v>
      </c>
      <c r="C233" s="9">
        <v>2.0</v>
      </c>
    </row>
    <row r="234" ht="15.75" customHeight="1">
      <c r="A234" s="7" t="s">
        <v>86</v>
      </c>
      <c r="B234" s="7" t="s">
        <v>430</v>
      </c>
      <c r="C234" s="9">
        <v>4.0</v>
      </c>
    </row>
    <row r="235" ht="15.75" customHeight="1">
      <c r="A235" s="7" t="s">
        <v>83</v>
      </c>
      <c r="B235" s="7" t="s">
        <v>431</v>
      </c>
      <c r="C235" s="9">
        <v>4.0</v>
      </c>
    </row>
    <row r="236" ht="15.75" customHeight="1">
      <c r="A236" s="7" t="s">
        <v>83</v>
      </c>
      <c r="B236" s="7" t="s">
        <v>432</v>
      </c>
      <c r="C236" s="9">
        <v>3.0</v>
      </c>
    </row>
    <row r="237" ht="15.75" customHeight="1">
      <c r="A237" s="7" t="s">
        <v>81</v>
      </c>
      <c r="B237" s="7" t="s">
        <v>433</v>
      </c>
      <c r="C237" s="9">
        <v>7.0</v>
      </c>
    </row>
    <row r="238" ht="15.75" customHeight="1">
      <c r="A238" s="7" t="s">
        <v>95</v>
      </c>
      <c r="B238" s="7" t="s">
        <v>434</v>
      </c>
      <c r="C238" s="9">
        <v>2.0</v>
      </c>
    </row>
    <row r="239" ht="15.75" customHeight="1">
      <c r="A239" s="7" t="s">
        <v>6</v>
      </c>
      <c r="B239" s="7" t="s">
        <v>435</v>
      </c>
      <c r="C239" s="9">
        <v>49.0</v>
      </c>
    </row>
    <row r="240" ht="15.75" customHeight="1">
      <c r="A240" s="7" t="s">
        <v>6</v>
      </c>
      <c r="B240" s="7" t="s">
        <v>436</v>
      </c>
      <c r="C240" s="9">
        <v>104.0</v>
      </c>
    </row>
    <row r="241" ht="15.75" customHeight="1">
      <c r="A241" s="7" t="s">
        <v>6</v>
      </c>
      <c r="B241" s="7" t="s">
        <v>437</v>
      </c>
      <c r="C241" s="9">
        <v>33.0</v>
      </c>
    </row>
    <row r="242" ht="15.75" customHeight="1">
      <c r="A242" s="7" t="s">
        <v>6</v>
      </c>
      <c r="B242" s="7" t="s">
        <v>438</v>
      </c>
      <c r="C242" s="9">
        <v>79.0</v>
      </c>
    </row>
    <row r="243" ht="15.75" customHeight="1">
      <c r="A243" s="7" t="s">
        <v>35</v>
      </c>
      <c r="B243" s="7" t="s">
        <v>440</v>
      </c>
      <c r="C243" s="9">
        <v>5.0</v>
      </c>
    </row>
    <row r="244" ht="15.75" customHeight="1">
      <c r="A244" s="7" t="s">
        <v>35</v>
      </c>
      <c r="B244" s="7" t="s">
        <v>441</v>
      </c>
      <c r="C244" s="9">
        <v>2.0</v>
      </c>
    </row>
    <row r="245" ht="15.75" customHeight="1">
      <c r="A245" s="7" t="s">
        <v>35</v>
      </c>
      <c r="B245" s="7" t="s">
        <v>442</v>
      </c>
      <c r="C245" s="9">
        <v>18.0</v>
      </c>
    </row>
    <row r="246" ht="15.75" customHeight="1">
      <c r="A246" s="7" t="s">
        <v>35</v>
      </c>
      <c r="B246" s="7" t="s">
        <v>443</v>
      </c>
      <c r="C246" s="9">
        <v>14.0</v>
      </c>
    </row>
    <row r="247" ht="15.75" customHeight="1">
      <c r="A247" s="7" t="s">
        <v>35</v>
      </c>
      <c r="B247" s="7" t="s">
        <v>444</v>
      </c>
      <c r="C247" s="9">
        <v>12.0</v>
      </c>
    </row>
    <row r="248" ht="15.75" customHeight="1">
      <c r="A248" s="7" t="s">
        <v>32</v>
      </c>
      <c r="B248" s="7" t="s">
        <v>445</v>
      </c>
      <c r="C248" s="9">
        <v>87.0</v>
      </c>
    </row>
    <row r="249" ht="15.75" customHeight="1">
      <c r="A249" s="7" t="s">
        <v>32</v>
      </c>
      <c r="B249" s="7" t="s">
        <v>446</v>
      </c>
      <c r="C249" s="9">
        <v>4.0</v>
      </c>
    </row>
    <row r="250" ht="15.75" customHeight="1">
      <c r="A250" s="7" t="s">
        <v>39</v>
      </c>
      <c r="B250" s="7" t="s">
        <v>447</v>
      </c>
      <c r="C250" s="9">
        <v>16.0</v>
      </c>
    </row>
    <row r="251" ht="15.75" customHeight="1">
      <c r="A251" s="7" t="s">
        <v>39</v>
      </c>
      <c r="B251" s="7" t="s">
        <v>448</v>
      </c>
      <c r="C251" s="9">
        <v>35.0</v>
      </c>
    </row>
    <row r="252" ht="15.75" customHeight="1">
      <c r="A252" s="7" t="s">
        <v>64</v>
      </c>
      <c r="B252" s="7" t="s">
        <v>450</v>
      </c>
      <c r="C252" s="9">
        <v>4.0</v>
      </c>
    </row>
    <row r="253" ht="15.75" customHeight="1">
      <c r="A253" s="7" t="s">
        <v>64</v>
      </c>
      <c r="B253" s="7" t="s">
        <v>452</v>
      </c>
      <c r="C253" s="9">
        <v>11.0</v>
      </c>
    </row>
    <row r="254" ht="15.75" customHeight="1">
      <c r="A254" s="7" t="s">
        <v>26</v>
      </c>
      <c r="B254" s="7" t="s">
        <v>453</v>
      </c>
      <c r="C254" s="9">
        <v>14.0</v>
      </c>
    </row>
    <row r="255" ht="15.75" customHeight="1">
      <c r="A255" s="7" t="s">
        <v>26</v>
      </c>
      <c r="B255" s="7" t="s">
        <v>455</v>
      </c>
      <c r="C255" s="9">
        <v>24.0</v>
      </c>
    </row>
    <row r="256" ht="15.75" customHeight="1">
      <c r="A256" s="7" t="s">
        <v>26</v>
      </c>
      <c r="B256" s="7" t="s">
        <v>456</v>
      </c>
      <c r="C256" s="9">
        <v>1.0</v>
      </c>
    </row>
    <row r="257" ht="15.75" customHeight="1">
      <c r="A257" s="7" t="s">
        <v>26</v>
      </c>
      <c r="B257" s="7" t="s">
        <v>457</v>
      </c>
      <c r="C257" s="9">
        <v>47.0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B2"/>
    <mergeCell ref="A69:C6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4.86"/>
    <col customWidth="1" min="3" max="3" width="10.14"/>
    <col customWidth="1" min="4" max="26" width="8.71"/>
  </cols>
  <sheetData>
    <row r="2">
      <c r="A2" s="6" t="s">
        <v>1</v>
      </c>
      <c r="B2" s="8"/>
      <c r="C2" s="10"/>
    </row>
    <row r="3">
      <c r="A3" s="11" t="s">
        <v>8</v>
      </c>
      <c r="B3" s="7" t="s">
        <v>2</v>
      </c>
    </row>
    <row r="4">
      <c r="A4" s="7" t="s">
        <v>13</v>
      </c>
      <c r="B4" s="9">
        <v>931.0</v>
      </c>
    </row>
    <row r="5">
      <c r="A5" s="7" t="s">
        <v>15</v>
      </c>
      <c r="B5" s="9">
        <v>477.0</v>
      </c>
    </row>
    <row r="6">
      <c r="A6" s="7" t="s">
        <v>18</v>
      </c>
      <c r="B6" s="9">
        <v>432.0</v>
      </c>
    </row>
    <row r="7">
      <c r="A7" s="7" t="s">
        <v>20</v>
      </c>
      <c r="B7" s="9">
        <v>260.0</v>
      </c>
    </row>
    <row r="8">
      <c r="A8" s="7" t="s">
        <v>23</v>
      </c>
      <c r="B8" s="9">
        <v>194.0</v>
      </c>
    </row>
    <row r="9">
      <c r="A9" s="7" t="s">
        <v>25</v>
      </c>
      <c r="B9" s="9">
        <v>138.0</v>
      </c>
    </row>
    <row r="10">
      <c r="A10" s="7" t="s">
        <v>28</v>
      </c>
      <c r="B10" s="9">
        <v>58.0</v>
      </c>
    </row>
    <row r="11">
      <c r="A11" s="7" t="s">
        <v>30</v>
      </c>
      <c r="B11" s="9">
        <v>55.0</v>
      </c>
    </row>
    <row r="12">
      <c r="A12" s="7" t="s">
        <v>33</v>
      </c>
      <c r="B12" s="9">
        <v>52.0</v>
      </c>
    </row>
    <row r="13">
      <c r="A13" s="7" t="s">
        <v>36</v>
      </c>
      <c r="B13" s="9">
        <v>43.0</v>
      </c>
    </row>
    <row r="14">
      <c r="A14" s="7" t="s">
        <v>38</v>
      </c>
      <c r="B14" s="9">
        <v>31.0</v>
      </c>
    </row>
    <row r="15">
      <c r="A15" s="7" t="s">
        <v>42</v>
      </c>
      <c r="B15" s="9">
        <v>27.0</v>
      </c>
    </row>
    <row r="16">
      <c r="A16" s="7" t="s">
        <v>44</v>
      </c>
      <c r="B16" s="9">
        <v>27.0</v>
      </c>
    </row>
    <row r="17">
      <c r="A17" s="7" t="s">
        <v>47</v>
      </c>
      <c r="B17" s="9">
        <v>23.0</v>
      </c>
    </row>
    <row r="18">
      <c r="A18" s="7" t="s">
        <v>49</v>
      </c>
      <c r="B18" s="9">
        <v>22.0</v>
      </c>
    </row>
    <row r="19">
      <c r="A19" s="7" t="s">
        <v>52</v>
      </c>
      <c r="B19" s="9">
        <v>22.0</v>
      </c>
    </row>
    <row r="20">
      <c r="A20" s="7" t="s">
        <v>55</v>
      </c>
      <c r="B20" s="9">
        <v>22.0</v>
      </c>
    </row>
    <row r="21" ht="15.75" customHeight="1">
      <c r="A21" s="7" t="s">
        <v>57</v>
      </c>
      <c r="B21" s="9">
        <v>19.0</v>
      </c>
    </row>
    <row r="22" ht="15.75" customHeight="1">
      <c r="A22" s="7" t="s">
        <v>60</v>
      </c>
      <c r="B22" s="9">
        <v>18.0</v>
      </c>
    </row>
    <row r="23" ht="15.75" customHeight="1">
      <c r="A23" s="7" t="s">
        <v>63</v>
      </c>
      <c r="B23" s="9">
        <v>18.0</v>
      </c>
    </row>
    <row r="24" ht="15.75" customHeight="1">
      <c r="A24" s="7" t="s">
        <v>65</v>
      </c>
      <c r="B24" s="9">
        <v>17.0</v>
      </c>
    </row>
    <row r="25" ht="15.75" customHeight="1">
      <c r="A25" s="7" t="s">
        <v>69</v>
      </c>
      <c r="B25" s="9">
        <v>17.0</v>
      </c>
    </row>
    <row r="26" ht="15.75" customHeight="1">
      <c r="A26" s="7" t="s">
        <v>71</v>
      </c>
      <c r="B26" s="9">
        <v>16.0</v>
      </c>
    </row>
    <row r="27" ht="15.75" customHeight="1">
      <c r="A27" s="7" t="s">
        <v>74</v>
      </c>
      <c r="B27" s="9">
        <v>16.0</v>
      </c>
    </row>
    <row r="28" ht="15.75" customHeight="1">
      <c r="A28" s="7" t="s">
        <v>77</v>
      </c>
      <c r="B28" s="9">
        <v>15.0</v>
      </c>
    </row>
    <row r="29" ht="15.75" customHeight="1">
      <c r="A29" s="7" t="s">
        <v>79</v>
      </c>
      <c r="B29" s="9">
        <v>15.0</v>
      </c>
    </row>
    <row r="30" ht="15.75" customHeight="1">
      <c r="A30" s="7" t="s">
        <v>82</v>
      </c>
      <c r="B30" s="9">
        <v>15.0</v>
      </c>
    </row>
    <row r="31" ht="15.75" customHeight="1">
      <c r="A31" s="7" t="s">
        <v>84</v>
      </c>
      <c r="B31" s="9">
        <v>14.0</v>
      </c>
    </row>
    <row r="32" ht="15.75" customHeight="1">
      <c r="A32" s="7" t="s">
        <v>87</v>
      </c>
      <c r="B32" s="9">
        <v>13.0</v>
      </c>
    </row>
    <row r="33" ht="15.75" customHeight="1">
      <c r="A33" s="7" t="s">
        <v>90</v>
      </c>
      <c r="B33" s="9">
        <v>12.0</v>
      </c>
    </row>
    <row r="34" ht="15.75" customHeight="1">
      <c r="A34" s="7" t="s">
        <v>93</v>
      </c>
      <c r="B34" s="9">
        <v>12.0</v>
      </c>
    </row>
    <row r="35" ht="15.75" customHeight="1">
      <c r="A35" s="7" t="s">
        <v>96</v>
      </c>
      <c r="B35" s="9">
        <v>11.0</v>
      </c>
    </row>
    <row r="36" ht="15.75" customHeight="1">
      <c r="A36" s="7" t="s">
        <v>100</v>
      </c>
      <c r="B36" s="9">
        <v>11.0</v>
      </c>
    </row>
    <row r="37" ht="15.75" customHeight="1">
      <c r="A37" s="7" t="s">
        <v>103</v>
      </c>
      <c r="B37" s="9">
        <v>11.0</v>
      </c>
    </row>
    <row r="38" ht="15.75" customHeight="1">
      <c r="A38" s="7" t="s">
        <v>104</v>
      </c>
      <c r="B38" s="9">
        <v>10.0</v>
      </c>
    </row>
    <row r="39" ht="15.75" customHeight="1">
      <c r="A39" s="7" t="s">
        <v>107</v>
      </c>
      <c r="B39" s="9">
        <v>9.0</v>
      </c>
    </row>
    <row r="40" ht="15.75" customHeight="1">
      <c r="A40" s="7" t="s">
        <v>108</v>
      </c>
      <c r="B40" s="9">
        <v>8.0</v>
      </c>
    </row>
    <row r="41" ht="15.75" customHeight="1">
      <c r="A41" s="7" t="s">
        <v>111</v>
      </c>
      <c r="B41" s="9">
        <v>8.0</v>
      </c>
    </row>
    <row r="42" ht="15.75" customHeight="1">
      <c r="A42" s="7" t="s">
        <v>113</v>
      </c>
      <c r="B42" s="9">
        <v>8.0</v>
      </c>
    </row>
    <row r="43" ht="15.75" customHeight="1">
      <c r="A43" s="7" t="s">
        <v>115</v>
      </c>
      <c r="B43" s="9">
        <v>8.0</v>
      </c>
    </row>
    <row r="44" ht="15.75" customHeight="1">
      <c r="A44" s="7" t="s">
        <v>119</v>
      </c>
      <c r="B44" s="9">
        <v>8.0</v>
      </c>
    </row>
    <row r="45" ht="15.75" customHeight="1">
      <c r="A45" s="7" t="s">
        <v>121</v>
      </c>
      <c r="B45" s="9">
        <v>8.0</v>
      </c>
    </row>
    <row r="46" ht="15.75" customHeight="1">
      <c r="A46" s="7" t="s">
        <v>124</v>
      </c>
      <c r="B46" s="9">
        <v>8.0</v>
      </c>
    </row>
    <row r="47" ht="15.75" customHeight="1">
      <c r="A47" s="7" t="s">
        <v>127</v>
      </c>
      <c r="B47" s="9">
        <v>7.0</v>
      </c>
    </row>
    <row r="48" ht="15.75" customHeight="1">
      <c r="A48" s="7" t="s">
        <v>129</v>
      </c>
      <c r="B48" s="9">
        <v>7.0</v>
      </c>
    </row>
    <row r="49" ht="15.75" customHeight="1">
      <c r="A49" s="7" t="s">
        <v>132</v>
      </c>
      <c r="B49" s="9">
        <v>7.0</v>
      </c>
    </row>
    <row r="50" ht="15.75" customHeight="1">
      <c r="A50" s="7" t="s">
        <v>134</v>
      </c>
      <c r="B50" s="9">
        <v>7.0</v>
      </c>
    </row>
    <row r="51" ht="15.75" customHeight="1">
      <c r="A51" s="7" t="s">
        <v>137</v>
      </c>
      <c r="B51" s="9">
        <v>7.0</v>
      </c>
    </row>
    <row r="52" ht="15.75" customHeight="1">
      <c r="A52" s="7" t="s">
        <v>138</v>
      </c>
      <c r="B52" s="9">
        <v>7.0</v>
      </c>
    </row>
    <row r="53" ht="15.75" customHeight="1">
      <c r="A53" s="7" t="s">
        <v>140</v>
      </c>
      <c r="B53" s="9">
        <v>6.0</v>
      </c>
    </row>
    <row r="54" ht="15.75" customHeight="1">
      <c r="A54" s="7" t="s">
        <v>143</v>
      </c>
      <c r="B54" s="9">
        <v>6.0</v>
      </c>
    </row>
    <row r="55" ht="15.75" customHeight="1">
      <c r="A55" s="7" t="s">
        <v>145</v>
      </c>
      <c r="B55" s="9">
        <v>6.0</v>
      </c>
    </row>
    <row r="56" ht="15.75" customHeight="1">
      <c r="A56" s="7" t="s">
        <v>148</v>
      </c>
      <c r="B56" s="9">
        <v>6.0</v>
      </c>
    </row>
    <row r="57" ht="15.75" customHeight="1">
      <c r="A57" s="7" t="s">
        <v>150</v>
      </c>
      <c r="B57" s="9">
        <v>5.0</v>
      </c>
    </row>
    <row r="58" ht="15.75" customHeight="1">
      <c r="A58" s="7" t="s">
        <v>151</v>
      </c>
      <c r="B58" s="9">
        <v>5.0</v>
      </c>
    </row>
    <row r="59" ht="15.75" customHeight="1">
      <c r="A59" s="7" t="s">
        <v>153</v>
      </c>
      <c r="B59" s="9">
        <v>5.0</v>
      </c>
    </row>
    <row r="60" ht="15.75" customHeight="1">
      <c r="A60" s="7" t="s">
        <v>155</v>
      </c>
      <c r="B60" s="9">
        <v>5.0</v>
      </c>
    </row>
    <row r="61" ht="15.75" customHeight="1">
      <c r="A61" s="7" t="s">
        <v>156</v>
      </c>
      <c r="B61" s="9">
        <v>5.0</v>
      </c>
    </row>
    <row r="62" ht="15.75" customHeight="1">
      <c r="A62" s="7" t="s">
        <v>158</v>
      </c>
      <c r="B62" s="9">
        <v>5.0</v>
      </c>
    </row>
    <row r="63" ht="15.75" customHeight="1">
      <c r="A63" s="7" t="s">
        <v>160</v>
      </c>
      <c r="B63" s="9">
        <v>4.0</v>
      </c>
    </row>
    <row r="64" ht="15.75" customHeight="1">
      <c r="A64" s="7" t="s">
        <v>161</v>
      </c>
      <c r="B64" s="9">
        <v>4.0</v>
      </c>
    </row>
    <row r="65" ht="15.75" customHeight="1">
      <c r="A65" s="7" t="s">
        <v>163</v>
      </c>
      <c r="B65" s="9">
        <v>4.0</v>
      </c>
    </row>
    <row r="66" ht="15.75" customHeight="1">
      <c r="A66" s="7" t="s">
        <v>165</v>
      </c>
      <c r="B66" s="9">
        <v>4.0</v>
      </c>
    </row>
    <row r="67" ht="15.75" customHeight="1">
      <c r="A67" s="7" t="s">
        <v>166</v>
      </c>
      <c r="B67" s="9">
        <v>4.0</v>
      </c>
    </row>
    <row r="68" ht="15.75" customHeight="1">
      <c r="A68" s="7" t="s">
        <v>168</v>
      </c>
      <c r="B68" s="9">
        <v>4.0</v>
      </c>
    </row>
    <row r="69" ht="15.75" customHeight="1">
      <c r="A69" s="7" t="s">
        <v>170</v>
      </c>
      <c r="B69" s="9">
        <v>4.0</v>
      </c>
    </row>
    <row r="70" ht="15.75" customHeight="1">
      <c r="A70" s="7" t="s">
        <v>172</v>
      </c>
      <c r="B70" s="9">
        <v>4.0</v>
      </c>
    </row>
    <row r="71" ht="15.75" customHeight="1">
      <c r="A71" s="7" t="s">
        <v>173</v>
      </c>
      <c r="B71" s="9">
        <v>4.0</v>
      </c>
    </row>
    <row r="72" ht="15.75" customHeight="1">
      <c r="A72" s="7" t="s">
        <v>175</v>
      </c>
      <c r="B72" s="9">
        <v>3.0</v>
      </c>
    </row>
    <row r="73" ht="15.75" customHeight="1">
      <c r="A73" s="7" t="s">
        <v>176</v>
      </c>
      <c r="B73" s="9">
        <v>3.0</v>
      </c>
    </row>
    <row r="74" ht="15.75" customHeight="1">
      <c r="A74" s="7" t="s">
        <v>178</v>
      </c>
      <c r="B74" s="9">
        <v>3.0</v>
      </c>
    </row>
    <row r="75" ht="15.75" customHeight="1">
      <c r="A75" s="7" t="s">
        <v>180</v>
      </c>
      <c r="B75" s="9">
        <v>3.0</v>
      </c>
    </row>
    <row r="76" ht="15.75" customHeight="1">
      <c r="A76" s="7" t="s">
        <v>181</v>
      </c>
      <c r="B76" s="9">
        <v>3.0</v>
      </c>
    </row>
    <row r="77" ht="15.75" customHeight="1">
      <c r="A77" s="7" t="s">
        <v>183</v>
      </c>
      <c r="B77" s="9">
        <v>3.0</v>
      </c>
    </row>
    <row r="78" ht="15.75" customHeight="1">
      <c r="A78" s="7" t="s">
        <v>185</v>
      </c>
      <c r="B78" s="9">
        <v>3.0</v>
      </c>
    </row>
    <row r="79" ht="15.75" customHeight="1">
      <c r="A79" s="7" t="s">
        <v>186</v>
      </c>
      <c r="B79" s="9">
        <v>3.0</v>
      </c>
    </row>
    <row r="80" ht="15.75" customHeight="1">
      <c r="A80" s="7" t="s">
        <v>188</v>
      </c>
      <c r="B80" s="9">
        <v>3.0</v>
      </c>
    </row>
    <row r="81" ht="15.75" customHeight="1">
      <c r="A81" s="7" t="s">
        <v>190</v>
      </c>
      <c r="B81" s="9">
        <v>3.0</v>
      </c>
    </row>
    <row r="82" ht="15.75" customHeight="1">
      <c r="A82" s="7" t="s">
        <v>192</v>
      </c>
      <c r="B82" s="9">
        <v>3.0</v>
      </c>
    </row>
    <row r="83" ht="15.75" customHeight="1">
      <c r="A83" s="7" t="s">
        <v>195</v>
      </c>
      <c r="B83" s="9">
        <v>3.0</v>
      </c>
    </row>
    <row r="84" ht="15.75" customHeight="1">
      <c r="A84" s="7" t="s">
        <v>197</v>
      </c>
      <c r="B84" s="9">
        <v>3.0</v>
      </c>
    </row>
    <row r="85" ht="15.75" customHeight="1">
      <c r="A85" s="7" t="s">
        <v>198</v>
      </c>
      <c r="B85" s="9">
        <v>3.0</v>
      </c>
    </row>
    <row r="86" ht="15.75" customHeight="1">
      <c r="A86" s="7" t="s">
        <v>200</v>
      </c>
      <c r="B86" s="9">
        <v>3.0</v>
      </c>
    </row>
    <row r="87" ht="15.75" customHeight="1">
      <c r="A87" s="7" t="s">
        <v>203</v>
      </c>
      <c r="B87" s="9">
        <v>3.0</v>
      </c>
    </row>
    <row r="88" ht="15.75" customHeight="1">
      <c r="A88" s="7" t="s">
        <v>204</v>
      </c>
      <c r="B88" s="9">
        <v>3.0</v>
      </c>
    </row>
    <row r="89" ht="15.75" customHeight="1">
      <c r="A89" s="7" t="s">
        <v>206</v>
      </c>
      <c r="B89" s="9">
        <v>3.0</v>
      </c>
    </row>
    <row r="90" ht="15.75" customHeight="1">
      <c r="A90" s="7" t="s">
        <v>208</v>
      </c>
      <c r="B90" s="9">
        <v>3.0</v>
      </c>
    </row>
    <row r="91" ht="15.75" customHeight="1">
      <c r="A91" s="7" t="s">
        <v>210</v>
      </c>
      <c r="B91" s="9">
        <v>2.0</v>
      </c>
    </row>
    <row r="92" ht="15.75" customHeight="1">
      <c r="A92" s="7" t="s">
        <v>211</v>
      </c>
      <c r="B92" s="9">
        <v>2.0</v>
      </c>
    </row>
    <row r="93" ht="15.75" customHeight="1">
      <c r="A93" s="7" t="s">
        <v>214</v>
      </c>
      <c r="B93" s="9">
        <v>2.0</v>
      </c>
    </row>
    <row r="94" ht="15.75" customHeight="1">
      <c r="A94" s="7" t="s">
        <v>216</v>
      </c>
      <c r="B94" s="9">
        <v>2.0</v>
      </c>
    </row>
    <row r="95" ht="15.75" customHeight="1">
      <c r="A95" s="7" t="s">
        <v>218</v>
      </c>
      <c r="B95" s="9">
        <v>2.0</v>
      </c>
    </row>
    <row r="96" ht="15.75" customHeight="1">
      <c r="A96" s="7" t="s">
        <v>219</v>
      </c>
      <c r="B96" s="9">
        <v>2.0</v>
      </c>
    </row>
    <row r="97" ht="15.75" customHeight="1">
      <c r="A97" s="7" t="s">
        <v>222</v>
      </c>
      <c r="B97" s="9">
        <v>2.0</v>
      </c>
    </row>
    <row r="98" ht="15.75" customHeight="1">
      <c r="A98" s="7" t="s">
        <v>224</v>
      </c>
      <c r="B98" s="9">
        <v>2.0</v>
      </c>
    </row>
    <row r="99" ht="15.75" customHeight="1">
      <c r="A99" s="7" t="s">
        <v>225</v>
      </c>
      <c r="B99" s="9">
        <v>2.0</v>
      </c>
    </row>
    <row r="100" ht="15.75" customHeight="1">
      <c r="A100" s="7" t="s">
        <v>227</v>
      </c>
      <c r="B100" s="9">
        <v>2.0</v>
      </c>
    </row>
    <row r="101" ht="15.75" customHeight="1">
      <c r="A101" s="7" t="s">
        <v>229</v>
      </c>
      <c r="B101" s="9">
        <v>2.0</v>
      </c>
    </row>
    <row r="102" ht="15.75" customHeight="1">
      <c r="A102" s="7" t="s">
        <v>230</v>
      </c>
      <c r="B102" s="9">
        <v>2.0</v>
      </c>
    </row>
    <row r="103" ht="15.75" customHeight="1">
      <c r="A103" s="7" t="s">
        <v>232</v>
      </c>
      <c r="B103" s="9">
        <v>2.0</v>
      </c>
    </row>
    <row r="104" ht="15.75" customHeight="1">
      <c r="A104" s="7" t="s">
        <v>234</v>
      </c>
      <c r="B104" s="9">
        <v>2.0</v>
      </c>
    </row>
    <row r="105" ht="15.75" customHeight="1">
      <c r="A105" s="7" t="s">
        <v>236</v>
      </c>
      <c r="B105" s="9">
        <v>2.0</v>
      </c>
    </row>
    <row r="106" ht="15.75" customHeight="1">
      <c r="A106" s="7" t="s">
        <v>237</v>
      </c>
      <c r="B106" s="9">
        <v>2.0</v>
      </c>
    </row>
    <row r="107" ht="15.75" customHeight="1">
      <c r="A107" s="7" t="s">
        <v>239</v>
      </c>
      <c r="B107" s="9">
        <v>2.0</v>
      </c>
    </row>
    <row r="108" ht="15.75" customHeight="1">
      <c r="A108" s="7" t="s">
        <v>241</v>
      </c>
      <c r="B108" s="9">
        <v>2.0</v>
      </c>
    </row>
    <row r="109" ht="15.75" customHeight="1">
      <c r="A109" s="7" t="s">
        <v>242</v>
      </c>
      <c r="B109" s="9">
        <v>2.0</v>
      </c>
    </row>
    <row r="110" ht="15.75" customHeight="1">
      <c r="A110" s="7" t="s">
        <v>245</v>
      </c>
      <c r="B110" s="9">
        <v>2.0</v>
      </c>
    </row>
    <row r="111" ht="15.75" customHeight="1">
      <c r="A111" s="7" t="s">
        <v>246</v>
      </c>
      <c r="B111" s="9">
        <v>2.0</v>
      </c>
    </row>
    <row r="112" ht="15.75" customHeight="1">
      <c r="A112" s="7" t="s">
        <v>247</v>
      </c>
      <c r="B112" s="9">
        <v>2.0</v>
      </c>
    </row>
    <row r="113" ht="15.75" customHeight="1">
      <c r="A113" s="7" t="s">
        <v>248</v>
      </c>
      <c r="B113" s="9">
        <v>2.0</v>
      </c>
    </row>
    <row r="114" ht="15.75" customHeight="1">
      <c r="A114" s="7" t="s">
        <v>250</v>
      </c>
      <c r="B114" s="9">
        <v>2.0</v>
      </c>
    </row>
    <row r="115" ht="15.75" customHeight="1">
      <c r="A115" s="7" t="s">
        <v>253</v>
      </c>
      <c r="B115" s="9">
        <v>2.0</v>
      </c>
    </row>
    <row r="116" ht="15.75" customHeight="1">
      <c r="A116" s="7" t="s">
        <v>255</v>
      </c>
      <c r="B116" s="9">
        <v>2.0</v>
      </c>
    </row>
    <row r="117" ht="15.75" customHeight="1">
      <c r="A117" s="7" t="s">
        <v>256</v>
      </c>
      <c r="B117" s="9">
        <v>2.0</v>
      </c>
    </row>
    <row r="118" ht="15.75" customHeight="1">
      <c r="A118" s="7" t="s">
        <v>258</v>
      </c>
      <c r="B118" s="9">
        <v>2.0</v>
      </c>
    </row>
    <row r="119" ht="15.75" customHeight="1">
      <c r="A119" s="7" t="s">
        <v>259</v>
      </c>
      <c r="B119" s="9">
        <v>2.0</v>
      </c>
    </row>
    <row r="120" ht="15.75" customHeight="1">
      <c r="A120" s="7" t="s">
        <v>261</v>
      </c>
      <c r="B120" s="9">
        <v>1.0</v>
      </c>
    </row>
    <row r="121" ht="15.75" customHeight="1">
      <c r="A121" s="7" t="s">
        <v>263</v>
      </c>
      <c r="B121" s="9">
        <v>1.0</v>
      </c>
    </row>
    <row r="122" ht="15.75" customHeight="1">
      <c r="A122" s="7" t="s">
        <v>264</v>
      </c>
      <c r="B122" s="9">
        <v>1.0</v>
      </c>
    </row>
    <row r="123" ht="15.75" customHeight="1">
      <c r="A123" s="7" t="s">
        <v>266</v>
      </c>
      <c r="B123" s="9">
        <v>1.0</v>
      </c>
    </row>
    <row r="124" ht="15.75" customHeight="1">
      <c r="A124" s="7" t="s">
        <v>268</v>
      </c>
      <c r="B124" s="9">
        <v>1.0</v>
      </c>
    </row>
    <row r="125" ht="15.75" customHeight="1">
      <c r="A125" s="7" t="s">
        <v>270</v>
      </c>
      <c r="B125" s="9">
        <v>1.0</v>
      </c>
    </row>
    <row r="126" ht="15.75" customHeight="1">
      <c r="A126" s="7" t="s">
        <v>275</v>
      </c>
      <c r="B126" s="9">
        <v>1.0</v>
      </c>
    </row>
    <row r="127" ht="15.75" customHeight="1">
      <c r="A127" s="7" t="s">
        <v>277</v>
      </c>
      <c r="B127" s="9">
        <v>1.0</v>
      </c>
    </row>
    <row r="128" ht="15.75" customHeight="1">
      <c r="A128" s="7" t="s">
        <v>278</v>
      </c>
      <c r="B128" s="9">
        <v>1.0</v>
      </c>
    </row>
    <row r="129" ht="15.75" customHeight="1">
      <c r="A129" s="7" t="s">
        <v>281</v>
      </c>
      <c r="B129" s="9">
        <v>1.0</v>
      </c>
    </row>
    <row r="130" ht="15.75" customHeight="1">
      <c r="A130" s="7" t="s">
        <v>283</v>
      </c>
      <c r="B130" s="9">
        <v>1.0</v>
      </c>
    </row>
    <row r="131" ht="15.75" customHeight="1">
      <c r="A131" s="7" t="s">
        <v>284</v>
      </c>
      <c r="B131" s="9">
        <v>1.0</v>
      </c>
    </row>
    <row r="132" ht="15.75" customHeight="1">
      <c r="A132" s="7" t="s">
        <v>286</v>
      </c>
      <c r="B132" s="9">
        <v>1.0</v>
      </c>
    </row>
    <row r="133" ht="15.75" customHeight="1">
      <c r="A133" s="7" t="s">
        <v>288</v>
      </c>
      <c r="B133" s="9">
        <v>1.0</v>
      </c>
    </row>
    <row r="134" ht="15.75" customHeight="1">
      <c r="A134" s="7" t="s">
        <v>290</v>
      </c>
      <c r="B134" s="9">
        <v>1.0</v>
      </c>
    </row>
    <row r="135" ht="15.75" customHeight="1">
      <c r="A135" s="7" t="s">
        <v>291</v>
      </c>
      <c r="B135" s="9">
        <v>1.0</v>
      </c>
    </row>
    <row r="136" ht="15.75" customHeight="1">
      <c r="A136" s="7" t="s">
        <v>293</v>
      </c>
      <c r="B136" s="9">
        <v>1.0</v>
      </c>
    </row>
    <row r="137" ht="15.75" customHeight="1">
      <c r="A137" s="7" t="s">
        <v>296</v>
      </c>
      <c r="B137" s="9">
        <v>1.0</v>
      </c>
    </row>
    <row r="138" ht="15.75" customHeight="1">
      <c r="A138" s="7" t="s">
        <v>297</v>
      </c>
      <c r="B138" s="9">
        <v>1.0</v>
      </c>
    </row>
    <row r="139" ht="15.75" customHeight="1">
      <c r="A139" s="7" t="s">
        <v>300</v>
      </c>
      <c r="B139" s="9">
        <v>1.0</v>
      </c>
    </row>
    <row r="140" ht="15.75" customHeight="1">
      <c r="A140" s="7" t="s">
        <v>302</v>
      </c>
      <c r="B140" s="9">
        <v>1.0</v>
      </c>
    </row>
    <row r="141" ht="15.75" customHeight="1">
      <c r="A141" s="7" t="s">
        <v>303</v>
      </c>
      <c r="B141" s="9">
        <v>1.0</v>
      </c>
    </row>
    <row r="142" ht="15.75" customHeight="1">
      <c r="A142" s="7" t="s">
        <v>305</v>
      </c>
      <c r="B142" s="9">
        <v>1.0</v>
      </c>
    </row>
    <row r="143" ht="15.75" customHeight="1">
      <c r="A143" s="7" t="s">
        <v>307</v>
      </c>
      <c r="B143" s="9">
        <v>1.0</v>
      </c>
    </row>
    <row r="144" ht="15.75" customHeight="1">
      <c r="A144" s="7" t="s">
        <v>309</v>
      </c>
      <c r="B144" s="9">
        <v>1.0</v>
      </c>
    </row>
    <row r="145" ht="15.75" customHeight="1">
      <c r="A145" s="7" t="s">
        <v>310</v>
      </c>
      <c r="B145" s="9">
        <v>1.0</v>
      </c>
    </row>
    <row r="146" ht="15.75" customHeight="1">
      <c r="A146" s="7" t="s">
        <v>312</v>
      </c>
      <c r="B146" s="9">
        <v>1.0</v>
      </c>
    </row>
    <row r="147" ht="15.75" customHeight="1">
      <c r="A147" s="7" t="s">
        <v>314</v>
      </c>
      <c r="B147" s="9">
        <v>1.0</v>
      </c>
    </row>
    <row r="148" ht="15.75" customHeight="1">
      <c r="A148" s="7" t="s">
        <v>316</v>
      </c>
      <c r="B148" s="9">
        <v>1.0</v>
      </c>
    </row>
    <row r="149" ht="15.75" customHeight="1">
      <c r="A149" s="7" t="s">
        <v>317</v>
      </c>
      <c r="B149" s="9">
        <v>1.0</v>
      </c>
    </row>
    <row r="150" ht="15.75" customHeight="1">
      <c r="A150" s="7" t="s">
        <v>319</v>
      </c>
      <c r="B150" s="9">
        <v>1.0</v>
      </c>
    </row>
    <row r="151" ht="15.75" customHeight="1">
      <c r="A151" s="7" t="s">
        <v>321</v>
      </c>
      <c r="B151" s="9">
        <v>1.0</v>
      </c>
    </row>
    <row r="152" ht="15.75" customHeight="1">
      <c r="A152" s="7" t="s">
        <v>323</v>
      </c>
      <c r="B152" s="9">
        <v>1.0</v>
      </c>
    </row>
    <row r="153" ht="15.75" customHeight="1">
      <c r="A153" s="7" t="s">
        <v>324</v>
      </c>
      <c r="B153" s="9">
        <v>1.0</v>
      </c>
    </row>
    <row r="154" ht="15.75" customHeight="1">
      <c r="A154" s="7" t="s">
        <v>326</v>
      </c>
      <c r="B154" s="9">
        <v>1.0</v>
      </c>
    </row>
    <row r="155" ht="15.75" customHeight="1">
      <c r="A155" s="7" t="s">
        <v>328</v>
      </c>
      <c r="B155" s="9">
        <v>1.0</v>
      </c>
    </row>
    <row r="156" ht="15.75" customHeight="1">
      <c r="A156" s="7" t="s">
        <v>330</v>
      </c>
      <c r="B156" s="9">
        <v>1.0</v>
      </c>
    </row>
    <row r="157" ht="15.75" customHeight="1">
      <c r="A157" s="7" t="s">
        <v>331</v>
      </c>
      <c r="B157" s="9">
        <v>1.0</v>
      </c>
    </row>
    <row r="158" ht="15.75" customHeight="1">
      <c r="A158" s="7" t="s">
        <v>333</v>
      </c>
      <c r="B158" s="9">
        <v>1.0</v>
      </c>
    </row>
    <row r="159" ht="15.75" customHeight="1">
      <c r="A159" s="7" t="s">
        <v>334</v>
      </c>
      <c r="B159" s="9">
        <v>1.0</v>
      </c>
    </row>
    <row r="160" ht="15.75" customHeight="1">
      <c r="A160" s="7" t="s">
        <v>336</v>
      </c>
      <c r="B160" s="9">
        <v>1.0</v>
      </c>
    </row>
    <row r="161" ht="15.75" customHeight="1">
      <c r="A161" s="7" t="s">
        <v>337</v>
      </c>
      <c r="B161" s="9">
        <v>1.0</v>
      </c>
    </row>
    <row r="162" ht="15.75" customHeight="1">
      <c r="A162" s="7" t="s">
        <v>339</v>
      </c>
      <c r="B162" s="9">
        <v>1.0</v>
      </c>
    </row>
    <row r="163" ht="15.75" customHeight="1">
      <c r="A163" s="7" t="s">
        <v>341</v>
      </c>
      <c r="B163" s="9">
        <v>1.0</v>
      </c>
    </row>
    <row r="164" ht="15.75" customHeight="1">
      <c r="A164" s="7" t="s">
        <v>342</v>
      </c>
      <c r="B164" s="9">
        <v>1.0</v>
      </c>
    </row>
    <row r="165" ht="15.75" customHeight="1">
      <c r="A165" s="7" t="s">
        <v>344</v>
      </c>
      <c r="B165" s="9">
        <v>1.0</v>
      </c>
    </row>
    <row r="166" ht="15.75" customHeight="1">
      <c r="A166" s="7" t="s">
        <v>346</v>
      </c>
      <c r="B166" s="9">
        <v>1.0</v>
      </c>
    </row>
    <row r="167" ht="15.75" customHeight="1">
      <c r="A167" s="7" t="s">
        <v>348</v>
      </c>
      <c r="B167" s="9">
        <v>1.0</v>
      </c>
    </row>
    <row r="168" ht="15.75" customHeight="1">
      <c r="A168" s="7" t="s">
        <v>349</v>
      </c>
      <c r="B168" s="9">
        <v>1.0</v>
      </c>
    </row>
    <row r="169" ht="15.75" customHeight="1">
      <c r="A169" s="7" t="s">
        <v>351</v>
      </c>
      <c r="B169" s="9">
        <v>1.0</v>
      </c>
    </row>
    <row r="170" ht="15.75" customHeight="1">
      <c r="A170" s="7" t="s">
        <v>353</v>
      </c>
      <c r="B170" s="9">
        <v>1.0</v>
      </c>
    </row>
    <row r="171" ht="15.75" customHeight="1">
      <c r="A171" s="7" t="s">
        <v>354</v>
      </c>
      <c r="B171" s="9">
        <v>1.0</v>
      </c>
    </row>
    <row r="172" ht="15.75" customHeight="1">
      <c r="A172" s="7" t="s">
        <v>356</v>
      </c>
      <c r="B172" s="9">
        <v>1.0</v>
      </c>
    </row>
    <row r="173" ht="15.75" customHeight="1">
      <c r="A173" s="7" t="s">
        <v>358</v>
      </c>
      <c r="B173" s="9">
        <v>1.0</v>
      </c>
    </row>
    <row r="174" ht="15.75" customHeight="1">
      <c r="A174" s="7" t="s">
        <v>360</v>
      </c>
      <c r="B174" s="9">
        <v>1.0</v>
      </c>
    </row>
    <row r="175" ht="15.75" customHeight="1">
      <c r="A175" s="7" t="s">
        <v>361</v>
      </c>
      <c r="B175" s="9">
        <v>1.0</v>
      </c>
    </row>
    <row r="176" ht="15.75" customHeight="1">
      <c r="A176" s="7" t="s">
        <v>363</v>
      </c>
      <c r="B176" s="9">
        <v>1.0</v>
      </c>
    </row>
    <row r="177" ht="15.75" customHeight="1">
      <c r="A177" s="7" t="s">
        <v>365</v>
      </c>
      <c r="B177" s="9">
        <v>1.0</v>
      </c>
    </row>
    <row r="178" ht="15.75" customHeight="1">
      <c r="A178" s="7" t="s">
        <v>367</v>
      </c>
      <c r="B178" s="9">
        <v>1.0</v>
      </c>
    </row>
    <row r="179" ht="15.75" customHeight="1">
      <c r="A179" s="7" t="s">
        <v>368</v>
      </c>
      <c r="B179" s="9">
        <v>1.0</v>
      </c>
    </row>
    <row r="180" ht="15.75" customHeight="1">
      <c r="A180" s="7" t="s">
        <v>369</v>
      </c>
      <c r="B180" s="9">
        <v>1.0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1.0"/>
    <col customWidth="1" min="3" max="3" width="30.43"/>
    <col customWidth="1" min="4" max="4" width="23.43"/>
    <col customWidth="1" min="5" max="5" width="15.14"/>
    <col customWidth="1" min="6" max="6" width="17.71"/>
    <col customWidth="1" min="7" max="26" width="8.71"/>
  </cols>
  <sheetData>
    <row r="1">
      <c r="A1" s="12" t="s">
        <v>40</v>
      </c>
      <c r="B1" s="13"/>
      <c r="C1" s="13"/>
      <c r="D1" s="13"/>
      <c r="E1" s="13"/>
      <c r="F1" s="14"/>
    </row>
    <row r="2">
      <c r="A2" s="15" t="s">
        <v>68</v>
      </c>
      <c r="B2" s="15" t="s">
        <v>92</v>
      </c>
      <c r="C2" s="15" t="s">
        <v>99</v>
      </c>
      <c r="D2" s="15" t="s">
        <v>106</v>
      </c>
      <c r="E2" s="17" t="s">
        <v>109</v>
      </c>
      <c r="F2" s="17" t="s">
        <v>118</v>
      </c>
    </row>
    <row r="3">
      <c r="A3" s="18" t="s">
        <v>125</v>
      </c>
      <c r="B3" s="18" t="s">
        <v>139</v>
      </c>
      <c r="C3" s="18" t="s">
        <v>147</v>
      </c>
      <c r="D3" s="18" t="s">
        <v>6</v>
      </c>
      <c r="E3" s="19">
        <v>44470.0</v>
      </c>
      <c r="F3" s="19">
        <v>45382.0</v>
      </c>
    </row>
    <row r="4">
      <c r="A4" s="18" t="s">
        <v>125</v>
      </c>
      <c r="B4" s="18" t="s">
        <v>139</v>
      </c>
      <c r="C4" s="18" t="s">
        <v>147</v>
      </c>
      <c r="D4" s="18" t="s">
        <v>6</v>
      </c>
      <c r="E4" s="19">
        <v>43770.0</v>
      </c>
      <c r="F4" s="19">
        <v>44043.0</v>
      </c>
    </row>
    <row r="5">
      <c r="A5" s="18" t="s">
        <v>193</v>
      </c>
      <c r="B5" s="18" t="s">
        <v>139</v>
      </c>
      <c r="C5" s="18" t="s">
        <v>202</v>
      </c>
      <c r="D5" s="18" t="s">
        <v>4</v>
      </c>
      <c r="E5" s="19">
        <v>37987.0</v>
      </c>
      <c r="F5" s="19">
        <v>38168.0</v>
      </c>
    </row>
    <row r="6">
      <c r="A6" s="18" t="s">
        <v>220</v>
      </c>
      <c r="B6" s="18" t="s">
        <v>139</v>
      </c>
      <c r="C6" s="18" t="s">
        <v>147</v>
      </c>
      <c r="D6" s="18" t="s">
        <v>6</v>
      </c>
      <c r="E6" s="19">
        <v>43891.0</v>
      </c>
      <c r="F6" s="19">
        <v>44165.0</v>
      </c>
    </row>
    <row r="7">
      <c r="A7" s="18" t="s">
        <v>244</v>
      </c>
      <c r="B7" s="18" t="s">
        <v>139</v>
      </c>
      <c r="C7" s="18" t="s">
        <v>251</v>
      </c>
      <c r="D7" s="18" t="s">
        <v>7</v>
      </c>
      <c r="E7" s="19">
        <v>45323.0</v>
      </c>
      <c r="F7" s="19">
        <v>46234.0</v>
      </c>
    </row>
    <row r="8">
      <c r="A8" s="18" t="s">
        <v>244</v>
      </c>
      <c r="B8" s="18" t="s">
        <v>139</v>
      </c>
      <c r="C8" s="18" t="s">
        <v>280</v>
      </c>
      <c r="D8" s="18" t="s">
        <v>14</v>
      </c>
      <c r="E8" s="19">
        <v>42491.0</v>
      </c>
      <c r="F8" s="19">
        <v>42855.0</v>
      </c>
    </row>
    <row r="9">
      <c r="A9" s="18" t="s">
        <v>244</v>
      </c>
      <c r="B9" s="18" t="s">
        <v>139</v>
      </c>
      <c r="C9" s="18" t="s">
        <v>251</v>
      </c>
      <c r="D9" s="18" t="s">
        <v>26</v>
      </c>
      <c r="E9" s="19">
        <v>44743.0</v>
      </c>
      <c r="F9" s="19">
        <v>45291.0</v>
      </c>
    </row>
    <row r="10">
      <c r="A10" s="18" t="s">
        <v>244</v>
      </c>
      <c r="B10" s="18" t="s">
        <v>139</v>
      </c>
      <c r="C10" s="18" t="s">
        <v>280</v>
      </c>
      <c r="D10" s="18" t="s">
        <v>14</v>
      </c>
      <c r="E10" s="19">
        <v>42767.0</v>
      </c>
      <c r="F10" s="19">
        <v>43159.0</v>
      </c>
    </row>
    <row r="11">
      <c r="A11" s="18" t="s">
        <v>244</v>
      </c>
      <c r="B11" s="18" t="s">
        <v>139</v>
      </c>
      <c r="C11" s="18" t="s">
        <v>251</v>
      </c>
      <c r="D11" s="18" t="s">
        <v>21</v>
      </c>
      <c r="E11" s="19">
        <v>44197.0</v>
      </c>
      <c r="F11" s="19">
        <v>44469.0</v>
      </c>
    </row>
    <row r="12">
      <c r="A12" s="18" t="s">
        <v>244</v>
      </c>
      <c r="B12" s="18" t="s">
        <v>139</v>
      </c>
      <c r="C12" s="18" t="s">
        <v>251</v>
      </c>
      <c r="D12" s="18" t="s">
        <v>7</v>
      </c>
      <c r="E12" s="19">
        <v>44835.0</v>
      </c>
      <c r="F12" s="19">
        <v>45565.0</v>
      </c>
    </row>
    <row r="13">
      <c r="A13" s="18" t="s">
        <v>244</v>
      </c>
      <c r="B13" s="18" t="s">
        <v>139</v>
      </c>
      <c r="C13" s="18" t="s">
        <v>251</v>
      </c>
      <c r="D13" s="18" t="s">
        <v>26</v>
      </c>
      <c r="E13" s="19">
        <v>43160.0</v>
      </c>
      <c r="F13" s="19">
        <v>44255.0</v>
      </c>
    </row>
    <row r="14">
      <c r="A14" s="18" t="s">
        <v>395</v>
      </c>
      <c r="B14" s="18" t="s">
        <v>139</v>
      </c>
      <c r="C14" s="18" t="s">
        <v>147</v>
      </c>
      <c r="D14" s="18" t="s">
        <v>6</v>
      </c>
      <c r="E14" s="19">
        <v>40664.0</v>
      </c>
      <c r="F14" s="19">
        <v>41394.0</v>
      </c>
    </row>
    <row r="15">
      <c r="A15" s="18" t="s">
        <v>408</v>
      </c>
      <c r="B15" s="18" t="s">
        <v>139</v>
      </c>
      <c r="C15" s="18" t="s">
        <v>280</v>
      </c>
      <c r="D15" s="18" t="s">
        <v>14</v>
      </c>
      <c r="E15" s="19">
        <v>41944.0</v>
      </c>
      <c r="F15" s="19">
        <v>42400.0</v>
      </c>
    </row>
    <row r="16">
      <c r="A16" s="18" t="s">
        <v>408</v>
      </c>
      <c r="B16" s="18" t="s">
        <v>139</v>
      </c>
      <c r="C16" s="18" t="s">
        <v>280</v>
      </c>
      <c r="D16" s="18" t="s">
        <v>14</v>
      </c>
      <c r="E16" s="19">
        <v>41548.0</v>
      </c>
      <c r="F16" s="19">
        <v>42643.0</v>
      </c>
    </row>
    <row r="17">
      <c r="A17" s="18" t="s">
        <v>408</v>
      </c>
      <c r="B17" s="18" t="s">
        <v>139</v>
      </c>
      <c r="C17" s="18" t="s">
        <v>280</v>
      </c>
      <c r="D17" s="18" t="s">
        <v>14</v>
      </c>
      <c r="E17" s="19">
        <v>41306.0</v>
      </c>
      <c r="F17" s="19">
        <v>42035.0</v>
      </c>
    </row>
    <row r="18">
      <c r="A18" s="18" t="s">
        <v>408</v>
      </c>
      <c r="B18" s="18" t="s">
        <v>139</v>
      </c>
      <c r="C18" s="18" t="s">
        <v>280</v>
      </c>
      <c r="D18" s="18" t="s">
        <v>14</v>
      </c>
      <c r="E18" s="19">
        <v>39934.0</v>
      </c>
      <c r="F18" s="19">
        <v>40117.0</v>
      </c>
    </row>
    <row r="19">
      <c r="A19" s="18" t="s">
        <v>408</v>
      </c>
      <c r="B19" s="18" t="s">
        <v>139</v>
      </c>
      <c r="C19" s="18" t="s">
        <v>449</v>
      </c>
      <c r="D19" s="18" t="s">
        <v>50</v>
      </c>
      <c r="E19" s="19">
        <v>42614.0</v>
      </c>
      <c r="F19" s="19">
        <v>42886.0</v>
      </c>
    </row>
    <row r="20">
      <c r="A20" s="18" t="s">
        <v>408</v>
      </c>
      <c r="B20" s="18" t="s">
        <v>139</v>
      </c>
      <c r="C20" s="18" t="s">
        <v>449</v>
      </c>
      <c r="D20" s="18" t="s">
        <v>11</v>
      </c>
      <c r="E20" s="19">
        <v>41426.0</v>
      </c>
      <c r="F20" s="19">
        <v>41698.0</v>
      </c>
    </row>
    <row r="21" ht="15.75" customHeight="1">
      <c r="A21" s="18" t="s">
        <v>408</v>
      </c>
      <c r="B21" s="18" t="s">
        <v>139</v>
      </c>
      <c r="C21" s="18" t="s">
        <v>280</v>
      </c>
      <c r="D21" s="18" t="s">
        <v>14</v>
      </c>
      <c r="E21" s="19">
        <v>40787.0</v>
      </c>
      <c r="F21" s="19">
        <v>41090.0</v>
      </c>
    </row>
    <row r="22" ht="15.75" customHeight="1">
      <c r="A22" s="18" t="s">
        <v>465</v>
      </c>
      <c r="B22" s="18" t="s">
        <v>139</v>
      </c>
      <c r="C22" s="18" t="s">
        <v>280</v>
      </c>
      <c r="D22" s="18" t="s">
        <v>14</v>
      </c>
      <c r="E22" s="19">
        <v>42948.0</v>
      </c>
      <c r="F22" s="19">
        <v>43769.0</v>
      </c>
    </row>
    <row r="23" ht="15.75" customHeight="1">
      <c r="A23" s="18" t="s">
        <v>465</v>
      </c>
      <c r="B23" s="18" t="s">
        <v>139</v>
      </c>
      <c r="C23" s="18" t="s">
        <v>280</v>
      </c>
      <c r="D23" s="18" t="s">
        <v>14</v>
      </c>
      <c r="E23" s="19">
        <v>42430.0</v>
      </c>
      <c r="F23" s="19">
        <v>42704.0</v>
      </c>
    </row>
    <row r="24" ht="15.75" customHeight="1">
      <c r="A24" s="18" t="s">
        <v>465</v>
      </c>
      <c r="B24" s="18" t="s">
        <v>139</v>
      </c>
      <c r="C24" s="18" t="s">
        <v>280</v>
      </c>
      <c r="D24" s="18" t="s">
        <v>14</v>
      </c>
      <c r="E24" s="19">
        <v>44197.0</v>
      </c>
      <c r="F24" s="19">
        <v>44469.0</v>
      </c>
    </row>
    <row r="25" ht="15.75" customHeight="1">
      <c r="A25" s="18" t="s">
        <v>466</v>
      </c>
      <c r="B25" s="18" t="s">
        <v>139</v>
      </c>
      <c r="C25" s="18" t="s">
        <v>251</v>
      </c>
      <c r="D25" s="18" t="s">
        <v>21</v>
      </c>
      <c r="E25" s="19">
        <v>44958.0</v>
      </c>
      <c r="F25" s="19">
        <v>45869.0</v>
      </c>
    </row>
    <row r="26" ht="15.75" customHeight="1">
      <c r="A26" s="18" t="s">
        <v>467</v>
      </c>
      <c r="B26" s="18" t="s">
        <v>139</v>
      </c>
      <c r="C26" s="18" t="s">
        <v>280</v>
      </c>
      <c r="D26" s="18" t="s">
        <v>14</v>
      </c>
      <c r="E26" s="19">
        <v>44621.0</v>
      </c>
      <c r="F26" s="19">
        <v>44895.0</v>
      </c>
    </row>
    <row r="27" ht="15.75" customHeight="1">
      <c r="A27" s="18" t="s">
        <v>468</v>
      </c>
      <c r="B27" s="18" t="s">
        <v>139</v>
      </c>
      <c r="C27" s="18" t="s">
        <v>449</v>
      </c>
      <c r="D27" s="18" t="s">
        <v>41</v>
      </c>
      <c r="E27" s="19">
        <v>37681.0</v>
      </c>
      <c r="F27" s="19">
        <v>39294.0</v>
      </c>
    </row>
    <row r="28" ht="15.75" customHeight="1">
      <c r="A28" s="18" t="s">
        <v>469</v>
      </c>
      <c r="B28" s="18" t="s">
        <v>139</v>
      </c>
      <c r="C28" s="18" t="s">
        <v>202</v>
      </c>
      <c r="D28" s="18" t="s">
        <v>12</v>
      </c>
      <c r="E28" s="19">
        <v>42401.0</v>
      </c>
      <c r="F28" s="19">
        <v>42674.0</v>
      </c>
    </row>
    <row r="29" ht="15.75" customHeight="1">
      <c r="A29" s="18" t="s">
        <v>470</v>
      </c>
      <c r="B29" s="18" t="s">
        <v>139</v>
      </c>
      <c r="C29" s="18" t="s">
        <v>251</v>
      </c>
      <c r="D29" s="18" t="s">
        <v>21</v>
      </c>
      <c r="E29" s="19">
        <v>44348.0</v>
      </c>
      <c r="F29" s="19">
        <v>45260.0</v>
      </c>
    </row>
    <row r="30" ht="15.75" customHeight="1">
      <c r="A30" s="18" t="s">
        <v>471</v>
      </c>
      <c r="B30" s="18" t="s">
        <v>139</v>
      </c>
      <c r="C30" s="18" t="s">
        <v>449</v>
      </c>
      <c r="D30" s="18" t="s">
        <v>11</v>
      </c>
      <c r="E30" s="19">
        <v>45108.0</v>
      </c>
      <c r="F30" s="19">
        <v>45838.0</v>
      </c>
    </row>
    <row r="31" ht="15.75" customHeight="1">
      <c r="A31" s="18" t="s">
        <v>472</v>
      </c>
      <c r="B31" s="18" t="s">
        <v>139</v>
      </c>
      <c r="C31" s="18" t="s">
        <v>202</v>
      </c>
      <c r="D31" s="18" t="s">
        <v>4</v>
      </c>
      <c r="E31" s="19">
        <v>41883.0</v>
      </c>
      <c r="F31" s="19">
        <v>42063.0</v>
      </c>
    </row>
    <row r="32" ht="15.75" customHeight="1">
      <c r="A32" s="18" t="s">
        <v>473</v>
      </c>
      <c r="B32" s="18" t="s">
        <v>139</v>
      </c>
      <c r="C32" s="18" t="s">
        <v>280</v>
      </c>
      <c r="D32" s="18" t="s">
        <v>16</v>
      </c>
      <c r="E32" s="19">
        <v>43922.0</v>
      </c>
      <c r="F32" s="19">
        <v>44196.0</v>
      </c>
    </row>
    <row r="33" ht="15.75" customHeight="1">
      <c r="A33" s="18" t="s">
        <v>474</v>
      </c>
      <c r="B33" s="18" t="s">
        <v>139</v>
      </c>
      <c r="C33" s="18" t="s">
        <v>251</v>
      </c>
      <c r="D33" s="18" t="s">
        <v>26</v>
      </c>
      <c r="E33" s="19">
        <v>43405.0</v>
      </c>
      <c r="F33" s="19">
        <v>43769.0</v>
      </c>
    </row>
    <row r="34" ht="15.75" customHeight="1">
      <c r="A34" s="18" t="s">
        <v>475</v>
      </c>
      <c r="B34" s="18" t="s">
        <v>139</v>
      </c>
      <c r="C34" s="18" t="s">
        <v>202</v>
      </c>
      <c r="D34" s="18" t="s">
        <v>9</v>
      </c>
      <c r="E34" s="19">
        <v>42461.0</v>
      </c>
      <c r="F34" s="19">
        <v>42735.0</v>
      </c>
    </row>
    <row r="35" ht="15.75" customHeight="1">
      <c r="A35" s="18" t="s">
        <v>475</v>
      </c>
      <c r="B35" s="18" t="s">
        <v>139</v>
      </c>
      <c r="C35" s="18" t="s">
        <v>202</v>
      </c>
      <c r="D35" s="18" t="s">
        <v>9</v>
      </c>
      <c r="E35" s="19">
        <v>42948.0</v>
      </c>
      <c r="F35" s="19">
        <v>43921.0</v>
      </c>
    </row>
    <row r="36" ht="15.75" customHeight="1">
      <c r="A36" s="18" t="s">
        <v>476</v>
      </c>
      <c r="B36" s="18" t="s">
        <v>139</v>
      </c>
      <c r="C36" s="18" t="s">
        <v>280</v>
      </c>
      <c r="D36" s="18" t="s">
        <v>66</v>
      </c>
      <c r="E36" s="19">
        <v>45413.0</v>
      </c>
      <c r="F36" s="19">
        <v>46142.0</v>
      </c>
    </row>
    <row r="37" ht="15.75" customHeight="1">
      <c r="A37" s="18" t="s">
        <v>477</v>
      </c>
      <c r="B37" s="18" t="s">
        <v>139</v>
      </c>
      <c r="C37" s="18" t="s">
        <v>478</v>
      </c>
      <c r="D37" s="18" t="s">
        <v>46</v>
      </c>
      <c r="E37" s="19">
        <v>42430.0</v>
      </c>
      <c r="F37" s="19">
        <v>42704.0</v>
      </c>
    </row>
    <row r="38" ht="15.75" customHeight="1">
      <c r="A38" s="18" t="s">
        <v>479</v>
      </c>
      <c r="B38" s="18" t="s">
        <v>139</v>
      </c>
      <c r="C38" s="18" t="s">
        <v>449</v>
      </c>
      <c r="D38" s="18" t="s">
        <v>48</v>
      </c>
      <c r="E38" s="19">
        <v>44044.0</v>
      </c>
      <c r="F38" s="19">
        <v>44316.0</v>
      </c>
    </row>
    <row r="39" ht="15.75" customHeight="1">
      <c r="A39" s="18" t="s">
        <v>479</v>
      </c>
      <c r="B39" s="18" t="s">
        <v>139</v>
      </c>
      <c r="C39" s="18" t="s">
        <v>449</v>
      </c>
      <c r="D39" s="18" t="s">
        <v>48</v>
      </c>
      <c r="E39" s="19">
        <v>43983.0</v>
      </c>
      <c r="F39" s="19">
        <v>44712.0</v>
      </c>
    </row>
    <row r="40" ht="15.75" customHeight="1">
      <c r="A40" s="18" t="s">
        <v>479</v>
      </c>
      <c r="B40" s="18" t="s">
        <v>139</v>
      </c>
      <c r="C40" s="18" t="s">
        <v>449</v>
      </c>
      <c r="D40" s="18" t="s">
        <v>48</v>
      </c>
      <c r="E40" s="19">
        <v>43586.0</v>
      </c>
      <c r="F40" s="19">
        <v>43861.0</v>
      </c>
    </row>
    <row r="41" ht="15.75" customHeight="1">
      <c r="A41" s="18" t="s">
        <v>479</v>
      </c>
      <c r="B41" s="18" t="s">
        <v>139</v>
      </c>
      <c r="C41" s="18" t="s">
        <v>449</v>
      </c>
      <c r="D41" s="18" t="s">
        <v>48</v>
      </c>
      <c r="E41" s="19">
        <v>42309.0</v>
      </c>
      <c r="F41" s="19">
        <v>42613.0</v>
      </c>
    </row>
    <row r="42" ht="15.75" customHeight="1">
      <c r="A42" s="18" t="s">
        <v>479</v>
      </c>
      <c r="B42" s="18" t="s">
        <v>139</v>
      </c>
      <c r="C42" s="18" t="s">
        <v>449</v>
      </c>
      <c r="D42" s="18" t="s">
        <v>48</v>
      </c>
      <c r="E42" s="19">
        <v>45017.0</v>
      </c>
      <c r="F42" s="19">
        <v>45382.0</v>
      </c>
    </row>
    <row r="43" ht="15.75" customHeight="1">
      <c r="A43" s="18" t="s">
        <v>481</v>
      </c>
      <c r="B43" s="18" t="s">
        <v>139</v>
      </c>
      <c r="C43" s="18" t="s">
        <v>280</v>
      </c>
      <c r="D43" s="18" t="s">
        <v>16</v>
      </c>
      <c r="E43" s="19">
        <v>42491.0</v>
      </c>
      <c r="F43" s="19">
        <v>42886.0</v>
      </c>
    </row>
    <row r="44" ht="15.75" customHeight="1">
      <c r="A44" s="18" t="s">
        <v>481</v>
      </c>
      <c r="B44" s="18" t="s">
        <v>139</v>
      </c>
      <c r="C44" s="18" t="s">
        <v>280</v>
      </c>
      <c r="D44" s="18" t="s">
        <v>39</v>
      </c>
      <c r="E44" s="19">
        <v>43525.0</v>
      </c>
      <c r="F44" s="19">
        <v>44804.0</v>
      </c>
    </row>
    <row r="45" ht="15.75" customHeight="1">
      <c r="A45" s="18" t="s">
        <v>482</v>
      </c>
      <c r="B45" s="18" t="s">
        <v>139</v>
      </c>
      <c r="C45" s="18" t="s">
        <v>483</v>
      </c>
      <c r="D45" s="18" t="s">
        <v>484</v>
      </c>
      <c r="E45" s="19">
        <v>44896.0</v>
      </c>
      <c r="F45" s="19">
        <v>45260.0</v>
      </c>
    </row>
    <row r="46" ht="15.75" customHeight="1">
      <c r="A46" s="18" t="s">
        <v>482</v>
      </c>
      <c r="B46" s="18" t="s">
        <v>139</v>
      </c>
      <c r="C46" s="18" t="s">
        <v>483</v>
      </c>
      <c r="D46" s="18" t="s">
        <v>484</v>
      </c>
      <c r="E46" s="19">
        <v>45748.0</v>
      </c>
      <c r="F46" s="19">
        <v>46477.0</v>
      </c>
    </row>
    <row r="47" ht="15.75" customHeight="1">
      <c r="A47" s="18" t="s">
        <v>485</v>
      </c>
      <c r="B47" s="18" t="s">
        <v>139</v>
      </c>
      <c r="C47" s="18" t="s">
        <v>449</v>
      </c>
      <c r="D47" s="18" t="s">
        <v>11</v>
      </c>
      <c r="E47" s="19">
        <v>45444.0</v>
      </c>
      <c r="F47" s="19">
        <v>46173.0</v>
      </c>
    </row>
    <row r="48" ht="15.75" customHeight="1">
      <c r="A48" s="18" t="s">
        <v>485</v>
      </c>
      <c r="B48" s="18" t="s">
        <v>139</v>
      </c>
      <c r="C48" s="18" t="s">
        <v>449</v>
      </c>
      <c r="D48" s="18" t="s">
        <v>11</v>
      </c>
      <c r="E48" s="19">
        <v>43374.0</v>
      </c>
      <c r="F48" s="19">
        <v>43677.0</v>
      </c>
    </row>
    <row r="49" ht="15.75" customHeight="1">
      <c r="A49" s="18" t="s">
        <v>485</v>
      </c>
      <c r="B49" s="18" t="s">
        <v>139</v>
      </c>
      <c r="C49" s="18" t="s">
        <v>449</v>
      </c>
      <c r="D49" s="18" t="s">
        <v>11</v>
      </c>
      <c r="E49" s="19">
        <v>44044.0</v>
      </c>
      <c r="F49" s="19">
        <v>44865.0</v>
      </c>
    </row>
    <row r="50" ht="15.75" customHeight="1">
      <c r="A50" s="18" t="s">
        <v>486</v>
      </c>
      <c r="B50" s="18" t="s">
        <v>139</v>
      </c>
      <c r="C50" s="18" t="s">
        <v>449</v>
      </c>
      <c r="D50" s="18" t="s">
        <v>50</v>
      </c>
      <c r="E50" s="19">
        <v>45627.0</v>
      </c>
      <c r="F50" s="19">
        <v>45900.0</v>
      </c>
    </row>
    <row r="51" ht="15.75" customHeight="1">
      <c r="A51" s="18" t="s">
        <v>487</v>
      </c>
      <c r="B51" s="18" t="s">
        <v>139</v>
      </c>
      <c r="C51" s="18" t="s">
        <v>280</v>
      </c>
      <c r="D51" s="18" t="s">
        <v>14</v>
      </c>
      <c r="E51" s="19">
        <v>43252.0</v>
      </c>
      <c r="F51" s="19">
        <v>44074.0</v>
      </c>
    </row>
    <row r="52" ht="15.75" customHeight="1">
      <c r="A52" s="18" t="s">
        <v>487</v>
      </c>
      <c r="B52" s="18" t="s">
        <v>139</v>
      </c>
      <c r="C52" s="18" t="s">
        <v>280</v>
      </c>
      <c r="D52" s="18" t="s">
        <v>14</v>
      </c>
      <c r="E52" s="19">
        <v>43525.0</v>
      </c>
      <c r="F52" s="19">
        <v>44316.0</v>
      </c>
    </row>
    <row r="53" ht="15.75" customHeight="1">
      <c r="A53" s="18" t="s">
        <v>487</v>
      </c>
      <c r="B53" s="18" t="s">
        <v>139</v>
      </c>
      <c r="C53" s="18" t="s">
        <v>449</v>
      </c>
      <c r="D53" s="18" t="s">
        <v>54</v>
      </c>
      <c r="E53" s="19">
        <v>43770.0</v>
      </c>
      <c r="F53" s="19">
        <v>44592.0</v>
      </c>
    </row>
    <row r="54" ht="15.75" customHeight="1">
      <c r="A54" s="18" t="s">
        <v>488</v>
      </c>
      <c r="B54" s="18" t="s">
        <v>139</v>
      </c>
      <c r="C54" s="18" t="s">
        <v>280</v>
      </c>
      <c r="D54" s="18" t="s">
        <v>14</v>
      </c>
      <c r="E54" s="19">
        <v>41000.0</v>
      </c>
      <c r="F54" s="19">
        <v>41912.0</v>
      </c>
    </row>
    <row r="55" ht="15.75" customHeight="1">
      <c r="A55" s="18" t="s">
        <v>488</v>
      </c>
      <c r="B55" s="18" t="s">
        <v>139</v>
      </c>
      <c r="C55" s="18" t="s">
        <v>280</v>
      </c>
      <c r="D55" s="18" t="s">
        <v>14</v>
      </c>
      <c r="E55" s="19">
        <v>40422.0</v>
      </c>
      <c r="F55" s="19">
        <v>40694.0</v>
      </c>
    </row>
    <row r="56" ht="15.75" customHeight="1">
      <c r="A56" s="18" t="s">
        <v>488</v>
      </c>
      <c r="B56" s="18" t="s">
        <v>139</v>
      </c>
      <c r="C56" s="18" t="s">
        <v>280</v>
      </c>
      <c r="D56" s="18" t="s">
        <v>14</v>
      </c>
      <c r="E56" s="19">
        <v>41760.0</v>
      </c>
      <c r="F56" s="19">
        <v>42613.0</v>
      </c>
    </row>
    <row r="57" ht="15.75" customHeight="1">
      <c r="A57" s="18" t="s">
        <v>488</v>
      </c>
      <c r="B57" s="18" t="s">
        <v>139</v>
      </c>
      <c r="C57" s="18" t="s">
        <v>280</v>
      </c>
      <c r="D57" s="18" t="s">
        <v>14</v>
      </c>
      <c r="E57" s="19">
        <v>41760.0</v>
      </c>
      <c r="F57" s="19">
        <v>42613.0</v>
      </c>
    </row>
    <row r="58" ht="15.75" customHeight="1">
      <c r="A58" s="18" t="s">
        <v>489</v>
      </c>
      <c r="B58" s="18" t="s">
        <v>139</v>
      </c>
      <c r="C58" s="18" t="s">
        <v>202</v>
      </c>
      <c r="D58" s="18" t="s">
        <v>4</v>
      </c>
      <c r="E58" s="19">
        <v>42979.0</v>
      </c>
      <c r="F58" s="19">
        <v>43159.0</v>
      </c>
    </row>
    <row r="59" ht="15.75" customHeight="1">
      <c r="A59" s="18" t="s">
        <v>490</v>
      </c>
      <c r="B59" s="18" t="s">
        <v>139</v>
      </c>
      <c r="C59" s="18" t="s">
        <v>202</v>
      </c>
      <c r="D59" s="18" t="s">
        <v>9</v>
      </c>
      <c r="E59" s="19">
        <v>42339.0</v>
      </c>
      <c r="F59" s="19">
        <v>42735.0</v>
      </c>
    </row>
    <row r="60" ht="15.75" customHeight="1">
      <c r="A60" s="18" t="s">
        <v>490</v>
      </c>
      <c r="B60" s="18" t="s">
        <v>139</v>
      </c>
      <c r="C60" s="18" t="s">
        <v>202</v>
      </c>
      <c r="D60" s="18" t="s">
        <v>9</v>
      </c>
      <c r="E60" s="19">
        <v>43282.0</v>
      </c>
      <c r="F60" s="19">
        <v>44196.0</v>
      </c>
    </row>
    <row r="61" ht="15.75" customHeight="1">
      <c r="A61" s="18" t="s">
        <v>491</v>
      </c>
      <c r="B61" s="18" t="s">
        <v>139</v>
      </c>
      <c r="C61" s="18" t="s">
        <v>251</v>
      </c>
      <c r="D61" s="18" t="s">
        <v>17</v>
      </c>
      <c r="E61" s="19">
        <v>43556.0</v>
      </c>
      <c r="F61" s="19">
        <v>43921.0</v>
      </c>
    </row>
    <row r="62" ht="15.75" customHeight="1">
      <c r="A62" s="18" t="s">
        <v>492</v>
      </c>
      <c r="B62" s="18" t="s">
        <v>139</v>
      </c>
      <c r="C62" s="18" t="s">
        <v>202</v>
      </c>
      <c r="D62" s="18" t="s">
        <v>9</v>
      </c>
      <c r="E62" s="19">
        <v>40483.0</v>
      </c>
      <c r="F62" s="19">
        <v>40816.0</v>
      </c>
    </row>
    <row r="63" ht="15.75" customHeight="1">
      <c r="A63" s="18" t="s">
        <v>492</v>
      </c>
      <c r="B63" s="18" t="s">
        <v>139</v>
      </c>
      <c r="C63" s="18" t="s">
        <v>202</v>
      </c>
      <c r="D63" s="18" t="s">
        <v>9</v>
      </c>
      <c r="E63" s="19">
        <v>42401.0</v>
      </c>
      <c r="F63" s="19">
        <v>42674.0</v>
      </c>
    </row>
    <row r="64" ht="15.75" customHeight="1">
      <c r="A64" s="18" t="s">
        <v>493</v>
      </c>
      <c r="B64" s="18" t="s">
        <v>139</v>
      </c>
      <c r="C64" s="18" t="s">
        <v>280</v>
      </c>
      <c r="D64" s="18" t="s">
        <v>14</v>
      </c>
      <c r="E64" s="19">
        <v>43132.0</v>
      </c>
      <c r="F64" s="19">
        <v>43465.0</v>
      </c>
    </row>
    <row r="65" ht="15.75" customHeight="1">
      <c r="A65" s="18" t="s">
        <v>494</v>
      </c>
      <c r="B65" s="18" t="s">
        <v>139</v>
      </c>
      <c r="C65" s="18" t="s">
        <v>495</v>
      </c>
      <c r="D65" s="18" t="s">
        <v>51</v>
      </c>
      <c r="E65" s="19">
        <v>43739.0</v>
      </c>
      <c r="F65" s="19">
        <v>44469.0</v>
      </c>
    </row>
    <row r="66" ht="15.75" customHeight="1">
      <c r="A66" s="18" t="s">
        <v>497</v>
      </c>
      <c r="B66" s="18" t="s">
        <v>139</v>
      </c>
      <c r="C66" s="18" t="s">
        <v>449</v>
      </c>
      <c r="D66" s="18" t="s">
        <v>29</v>
      </c>
      <c r="E66" s="19">
        <v>38078.0</v>
      </c>
      <c r="F66" s="19">
        <v>38260.0</v>
      </c>
    </row>
    <row r="67" ht="15.75" customHeight="1">
      <c r="A67" s="18" t="s">
        <v>498</v>
      </c>
      <c r="B67" s="18" t="s">
        <v>139</v>
      </c>
      <c r="C67" s="18" t="s">
        <v>251</v>
      </c>
      <c r="D67" s="18" t="s">
        <v>24</v>
      </c>
      <c r="E67" s="19">
        <v>38626.0</v>
      </c>
      <c r="F67" s="19">
        <v>39782.0</v>
      </c>
    </row>
    <row r="68" ht="15.75" customHeight="1">
      <c r="A68" s="18" t="s">
        <v>499</v>
      </c>
      <c r="B68" s="18" t="s">
        <v>139</v>
      </c>
      <c r="C68" s="18" t="s">
        <v>280</v>
      </c>
      <c r="D68" s="18" t="s">
        <v>16</v>
      </c>
      <c r="E68" s="19">
        <v>44531.0</v>
      </c>
      <c r="F68" s="19">
        <v>45260.0</v>
      </c>
    </row>
    <row r="69" ht="15.75" customHeight="1">
      <c r="A69" s="18" t="s">
        <v>499</v>
      </c>
      <c r="B69" s="18" t="s">
        <v>139</v>
      </c>
      <c r="C69" s="18" t="s">
        <v>280</v>
      </c>
      <c r="D69" s="18" t="s">
        <v>16</v>
      </c>
      <c r="E69" s="19">
        <v>45748.0</v>
      </c>
      <c r="F69" s="19">
        <v>46112.0</v>
      </c>
    </row>
    <row r="70" ht="15.75" customHeight="1">
      <c r="A70" s="18" t="s">
        <v>499</v>
      </c>
      <c r="B70" s="18" t="s">
        <v>139</v>
      </c>
      <c r="C70" s="18" t="s">
        <v>280</v>
      </c>
      <c r="D70" s="18" t="s">
        <v>16</v>
      </c>
      <c r="E70" s="19">
        <v>44682.0</v>
      </c>
      <c r="F70" s="19">
        <v>45412.0</v>
      </c>
    </row>
    <row r="71" ht="15.75" customHeight="1">
      <c r="A71" s="18" t="s">
        <v>499</v>
      </c>
      <c r="B71" s="18" t="s">
        <v>139</v>
      </c>
      <c r="C71" s="18" t="s">
        <v>280</v>
      </c>
      <c r="D71" s="18" t="s">
        <v>16</v>
      </c>
      <c r="E71" s="19">
        <v>42401.0</v>
      </c>
      <c r="F71" s="19">
        <v>42735.0</v>
      </c>
    </row>
    <row r="72" ht="15.75" customHeight="1">
      <c r="A72" s="18" t="s">
        <v>499</v>
      </c>
      <c r="B72" s="18" t="s">
        <v>139</v>
      </c>
      <c r="C72" s="18" t="s">
        <v>280</v>
      </c>
      <c r="D72" s="18" t="s">
        <v>16</v>
      </c>
      <c r="E72" s="19">
        <v>43709.0</v>
      </c>
      <c r="F72" s="19">
        <v>43982.0</v>
      </c>
    </row>
    <row r="73" ht="15.75" customHeight="1">
      <c r="A73" s="18" t="s">
        <v>499</v>
      </c>
      <c r="B73" s="18" t="s">
        <v>139</v>
      </c>
      <c r="C73" s="18" t="s">
        <v>280</v>
      </c>
      <c r="D73" s="18" t="s">
        <v>16</v>
      </c>
      <c r="E73" s="19">
        <v>42795.0</v>
      </c>
      <c r="F73" s="19">
        <v>43890.0</v>
      </c>
    </row>
    <row r="74" ht="15.75" customHeight="1">
      <c r="A74" s="18" t="s">
        <v>499</v>
      </c>
      <c r="B74" s="18" t="s">
        <v>139</v>
      </c>
      <c r="C74" s="18" t="s">
        <v>280</v>
      </c>
      <c r="D74" s="18" t="s">
        <v>43</v>
      </c>
      <c r="E74" s="19">
        <v>44621.0</v>
      </c>
      <c r="F74" s="19">
        <v>45504.0</v>
      </c>
    </row>
    <row r="75" ht="15.75" customHeight="1">
      <c r="A75" s="18" t="s">
        <v>499</v>
      </c>
      <c r="B75" s="18" t="s">
        <v>139</v>
      </c>
      <c r="C75" s="18" t="s">
        <v>280</v>
      </c>
      <c r="D75" s="18" t="s">
        <v>43</v>
      </c>
      <c r="E75" s="19">
        <v>44166.0</v>
      </c>
      <c r="F75" s="19">
        <v>44530.0</v>
      </c>
    </row>
    <row r="76" ht="15.75" customHeight="1">
      <c r="A76" s="18" t="s">
        <v>500</v>
      </c>
      <c r="B76" s="18" t="s">
        <v>139</v>
      </c>
      <c r="C76" s="18" t="s">
        <v>280</v>
      </c>
      <c r="D76" s="18" t="s">
        <v>14</v>
      </c>
      <c r="E76" s="19">
        <v>44378.0</v>
      </c>
      <c r="F76" s="19">
        <v>44651.0</v>
      </c>
    </row>
    <row r="77" ht="15.75" customHeight="1">
      <c r="A77" s="18" t="s">
        <v>501</v>
      </c>
      <c r="B77" s="18" t="s">
        <v>139</v>
      </c>
      <c r="C77" s="18" t="s">
        <v>147</v>
      </c>
      <c r="D77" s="18" t="s">
        <v>3</v>
      </c>
      <c r="E77" s="19">
        <v>39142.0</v>
      </c>
      <c r="F77" s="19">
        <v>40602.0</v>
      </c>
    </row>
    <row r="78" ht="15.75" customHeight="1">
      <c r="A78" s="18" t="s">
        <v>501</v>
      </c>
      <c r="B78" s="18" t="s">
        <v>139</v>
      </c>
      <c r="C78" s="18" t="s">
        <v>147</v>
      </c>
      <c r="D78" s="18" t="s">
        <v>3</v>
      </c>
      <c r="E78" s="19">
        <v>38838.0</v>
      </c>
      <c r="F78" s="19">
        <v>40086.0</v>
      </c>
    </row>
    <row r="79" ht="15.75" customHeight="1">
      <c r="A79" s="18" t="s">
        <v>501</v>
      </c>
      <c r="B79" s="18" t="s">
        <v>139</v>
      </c>
      <c r="C79" s="18" t="s">
        <v>280</v>
      </c>
      <c r="D79" s="18" t="s">
        <v>16</v>
      </c>
      <c r="E79" s="19">
        <v>44044.0</v>
      </c>
      <c r="F79" s="19">
        <v>44316.0</v>
      </c>
    </row>
    <row r="80" ht="15.75" customHeight="1">
      <c r="A80" s="18" t="s">
        <v>501</v>
      </c>
      <c r="B80" s="18" t="s">
        <v>139</v>
      </c>
      <c r="C80" s="18" t="s">
        <v>280</v>
      </c>
      <c r="D80" s="18" t="s">
        <v>16</v>
      </c>
      <c r="E80" s="19">
        <v>43739.0</v>
      </c>
      <c r="F80" s="19">
        <v>44469.0</v>
      </c>
    </row>
    <row r="81" ht="15.75" customHeight="1">
      <c r="A81" s="18" t="s">
        <v>501</v>
      </c>
      <c r="B81" s="18" t="s">
        <v>139</v>
      </c>
      <c r="C81" s="18" t="s">
        <v>280</v>
      </c>
      <c r="D81" s="18" t="s">
        <v>16</v>
      </c>
      <c r="E81" s="19">
        <v>42856.0</v>
      </c>
      <c r="F81" s="19">
        <v>43677.0</v>
      </c>
    </row>
    <row r="82" ht="15.75" customHeight="1">
      <c r="A82" s="18" t="s">
        <v>501</v>
      </c>
      <c r="B82" s="18" t="s">
        <v>139</v>
      </c>
      <c r="C82" s="18" t="s">
        <v>280</v>
      </c>
      <c r="D82" s="18" t="s">
        <v>16</v>
      </c>
      <c r="E82" s="19">
        <v>42430.0</v>
      </c>
      <c r="F82" s="19">
        <v>42735.0</v>
      </c>
    </row>
    <row r="83" ht="15.75" customHeight="1">
      <c r="A83" s="18" t="s">
        <v>501</v>
      </c>
      <c r="B83" s="18" t="s">
        <v>139</v>
      </c>
      <c r="C83" s="18" t="s">
        <v>280</v>
      </c>
      <c r="D83" s="18" t="s">
        <v>16</v>
      </c>
      <c r="E83" s="19">
        <v>44593.0</v>
      </c>
      <c r="F83" s="19">
        <v>44865.0</v>
      </c>
    </row>
    <row r="84" ht="15.75" customHeight="1">
      <c r="A84" s="18" t="s">
        <v>502</v>
      </c>
      <c r="B84" s="18" t="s">
        <v>139</v>
      </c>
      <c r="C84" s="18" t="s">
        <v>449</v>
      </c>
      <c r="D84" s="18" t="s">
        <v>19</v>
      </c>
      <c r="E84" s="19">
        <v>42248.0</v>
      </c>
      <c r="F84" s="19">
        <v>43069.0</v>
      </c>
    </row>
    <row r="85" ht="15.75" customHeight="1">
      <c r="A85" s="18" t="s">
        <v>502</v>
      </c>
      <c r="B85" s="18" t="s">
        <v>139</v>
      </c>
      <c r="C85" s="18" t="s">
        <v>449</v>
      </c>
      <c r="D85" s="18" t="s">
        <v>19</v>
      </c>
      <c r="E85" s="19">
        <v>41306.0</v>
      </c>
      <c r="F85" s="19">
        <v>41578.0</v>
      </c>
    </row>
    <row r="86" ht="15.75" customHeight="1">
      <c r="A86" s="18" t="s">
        <v>502</v>
      </c>
      <c r="B86" s="18" t="s">
        <v>139</v>
      </c>
      <c r="C86" s="18" t="s">
        <v>449</v>
      </c>
      <c r="D86" s="18" t="s">
        <v>19</v>
      </c>
      <c r="E86" s="19">
        <v>40848.0</v>
      </c>
      <c r="F86" s="19">
        <v>41121.0</v>
      </c>
    </row>
    <row r="87" ht="15.75" customHeight="1">
      <c r="A87" s="18" t="s">
        <v>502</v>
      </c>
      <c r="B87" s="18" t="s">
        <v>139</v>
      </c>
      <c r="C87" s="18" t="s">
        <v>449</v>
      </c>
      <c r="D87" s="18" t="s">
        <v>50</v>
      </c>
      <c r="E87" s="19">
        <v>44958.0</v>
      </c>
      <c r="F87" s="19">
        <v>45688.0</v>
      </c>
    </row>
    <row r="88" ht="15.75" customHeight="1">
      <c r="A88" s="18" t="s">
        <v>502</v>
      </c>
      <c r="B88" s="18" t="s">
        <v>139</v>
      </c>
      <c r="C88" s="18" t="s">
        <v>449</v>
      </c>
      <c r="D88" s="18" t="s">
        <v>50</v>
      </c>
      <c r="E88" s="19">
        <v>44317.0</v>
      </c>
      <c r="F88" s="19">
        <v>44592.0</v>
      </c>
    </row>
    <row r="89" ht="15.75" customHeight="1">
      <c r="A89" s="18" t="s">
        <v>502</v>
      </c>
      <c r="B89" s="18" t="s">
        <v>139</v>
      </c>
      <c r="C89" s="18" t="s">
        <v>251</v>
      </c>
      <c r="D89" s="18" t="s">
        <v>24</v>
      </c>
      <c r="E89" s="19">
        <v>39539.0</v>
      </c>
      <c r="F89" s="19">
        <v>40268.0</v>
      </c>
    </row>
    <row r="90" ht="15.75" customHeight="1">
      <c r="A90" s="18" t="s">
        <v>502</v>
      </c>
      <c r="B90" s="18" t="s">
        <v>139</v>
      </c>
      <c r="C90" s="18" t="s">
        <v>251</v>
      </c>
      <c r="D90" s="18" t="s">
        <v>24</v>
      </c>
      <c r="E90" s="19">
        <v>39142.0</v>
      </c>
      <c r="F90" s="19">
        <v>39416.0</v>
      </c>
    </row>
    <row r="91" ht="15.75" customHeight="1">
      <c r="A91" s="18" t="s">
        <v>502</v>
      </c>
      <c r="B91" s="18" t="s">
        <v>139</v>
      </c>
      <c r="C91" s="18" t="s">
        <v>251</v>
      </c>
      <c r="D91" s="18" t="s">
        <v>24</v>
      </c>
      <c r="E91" s="19">
        <v>39142.0</v>
      </c>
      <c r="F91" s="19">
        <v>40482.0</v>
      </c>
    </row>
    <row r="92" ht="15.75" customHeight="1">
      <c r="A92" s="18" t="s">
        <v>503</v>
      </c>
      <c r="B92" s="18" t="s">
        <v>139</v>
      </c>
      <c r="C92" s="18" t="s">
        <v>251</v>
      </c>
      <c r="D92" s="18" t="s">
        <v>24</v>
      </c>
      <c r="E92" s="19">
        <v>41913.0</v>
      </c>
      <c r="F92" s="19">
        <v>42247.0</v>
      </c>
    </row>
    <row r="93" ht="15.75" customHeight="1">
      <c r="A93" s="18" t="s">
        <v>503</v>
      </c>
      <c r="B93" s="18" t="s">
        <v>139</v>
      </c>
      <c r="C93" s="18" t="s">
        <v>251</v>
      </c>
      <c r="D93" s="18" t="s">
        <v>24</v>
      </c>
      <c r="E93" s="19">
        <v>42583.0</v>
      </c>
      <c r="F93" s="19">
        <v>43708.0</v>
      </c>
    </row>
    <row r="94" ht="15.75" customHeight="1">
      <c r="A94" s="18" t="s">
        <v>504</v>
      </c>
      <c r="B94" s="18" t="s">
        <v>139</v>
      </c>
      <c r="C94" s="18" t="s">
        <v>202</v>
      </c>
      <c r="D94" s="18" t="s">
        <v>10</v>
      </c>
      <c r="E94" s="19">
        <v>44228.0</v>
      </c>
      <c r="F94" s="19">
        <v>44957.0</v>
      </c>
    </row>
    <row r="95" ht="15.75" customHeight="1">
      <c r="A95" s="18" t="s">
        <v>504</v>
      </c>
      <c r="B95" s="18" t="s">
        <v>139</v>
      </c>
      <c r="C95" s="18" t="s">
        <v>202</v>
      </c>
      <c r="D95" s="18" t="s">
        <v>10</v>
      </c>
      <c r="E95" s="19">
        <v>43009.0</v>
      </c>
      <c r="F95" s="19">
        <v>43343.0</v>
      </c>
    </row>
    <row r="96" ht="15.75" customHeight="1">
      <c r="A96" s="18" t="s">
        <v>505</v>
      </c>
      <c r="B96" s="18" t="s">
        <v>139</v>
      </c>
      <c r="C96" s="18" t="s">
        <v>147</v>
      </c>
      <c r="D96" s="18" t="s">
        <v>3</v>
      </c>
      <c r="E96" s="19">
        <v>43586.0</v>
      </c>
      <c r="F96" s="19">
        <v>44804.0</v>
      </c>
    </row>
    <row r="97" ht="15.75" customHeight="1">
      <c r="A97" s="18" t="s">
        <v>505</v>
      </c>
      <c r="B97" s="18" t="s">
        <v>139</v>
      </c>
      <c r="C97" s="18" t="s">
        <v>147</v>
      </c>
      <c r="D97" s="18" t="s">
        <v>3</v>
      </c>
      <c r="E97" s="19">
        <v>42826.0</v>
      </c>
      <c r="F97" s="19">
        <v>43100.0</v>
      </c>
    </row>
    <row r="98" ht="15.75" customHeight="1">
      <c r="A98" s="18" t="s">
        <v>505</v>
      </c>
      <c r="B98" s="18" t="s">
        <v>139</v>
      </c>
      <c r="C98" s="18" t="s">
        <v>202</v>
      </c>
      <c r="D98" s="18" t="s">
        <v>9</v>
      </c>
      <c r="E98" s="19">
        <v>41122.0</v>
      </c>
      <c r="F98" s="19">
        <v>41394.0</v>
      </c>
    </row>
    <row r="99" ht="15.75" customHeight="1">
      <c r="A99" s="18" t="s">
        <v>505</v>
      </c>
      <c r="B99" s="18" t="s">
        <v>139</v>
      </c>
      <c r="C99" s="18" t="s">
        <v>147</v>
      </c>
      <c r="D99" s="18" t="s">
        <v>3</v>
      </c>
      <c r="E99" s="19">
        <v>43282.0</v>
      </c>
      <c r="F99" s="19">
        <v>43646.0</v>
      </c>
    </row>
    <row r="100" ht="15.75" customHeight="1">
      <c r="A100" s="18" t="s">
        <v>506</v>
      </c>
      <c r="B100" s="18" t="s">
        <v>139</v>
      </c>
      <c r="C100" s="18" t="s">
        <v>449</v>
      </c>
      <c r="D100" s="18" t="s">
        <v>86</v>
      </c>
      <c r="E100" s="19">
        <v>46082.0</v>
      </c>
      <c r="F100" s="19">
        <v>46356.0</v>
      </c>
    </row>
    <row r="101" ht="15.75" customHeight="1">
      <c r="A101" s="18" t="s">
        <v>507</v>
      </c>
      <c r="B101" s="18" t="s">
        <v>139</v>
      </c>
      <c r="C101" s="18" t="s">
        <v>251</v>
      </c>
      <c r="D101" s="18" t="s">
        <v>7</v>
      </c>
      <c r="E101" s="19">
        <v>42401.0</v>
      </c>
      <c r="F101" s="19">
        <v>42674.0</v>
      </c>
    </row>
    <row r="102" ht="15.75" customHeight="1">
      <c r="A102" s="18" t="s">
        <v>507</v>
      </c>
      <c r="B102" s="18" t="s">
        <v>139</v>
      </c>
      <c r="C102" s="18" t="s">
        <v>251</v>
      </c>
      <c r="D102" s="18" t="s">
        <v>7</v>
      </c>
      <c r="E102" s="19">
        <v>42826.0</v>
      </c>
      <c r="F102" s="19">
        <v>43555.0</v>
      </c>
    </row>
    <row r="103" ht="15.75" customHeight="1">
      <c r="A103" s="18" t="s">
        <v>507</v>
      </c>
      <c r="B103" s="18" t="s">
        <v>508</v>
      </c>
      <c r="C103" s="18" t="s">
        <v>280</v>
      </c>
      <c r="D103" s="18" t="s">
        <v>14</v>
      </c>
      <c r="E103" s="19">
        <v>41365.0</v>
      </c>
      <c r="F103" s="19">
        <v>41912.0</v>
      </c>
    </row>
    <row r="104" ht="15.75" customHeight="1">
      <c r="A104" s="18" t="s">
        <v>507</v>
      </c>
      <c r="B104" s="18" t="s">
        <v>139</v>
      </c>
      <c r="C104" s="18" t="s">
        <v>280</v>
      </c>
      <c r="D104" s="18" t="s">
        <v>14</v>
      </c>
      <c r="E104" s="19">
        <v>39173.0</v>
      </c>
      <c r="F104" s="19">
        <v>40298.0</v>
      </c>
    </row>
    <row r="105" ht="15.75" customHeight="1">
      <c r="A105" s="18" t="s">
        <v>507</v>
      </c>
      <c r="B105" s="18" t="s">
        <v>139</v>
      </c>
      <c r="C105" s="18" t="s">
        <v>280</v>
      </c>
      <c r="D105" s="18" t="s">
        <v>14</v>
      </c>
      <c r="E105" s="19">
        <v>42856.0</v>
      </c>
      <c r="F105" s="19">
        <v>43131.0</v>
      </c>
    </row>
    <row r="106" ht="15.75" customHeight="1">
      <c r="A106" s="18" t="s">
        <v>509</v>
      </c>
      <c r="B106" s="18" t="s">
        <v>139</v>
      </c>
      <c r="C106" s="18" t="s">
        <v>251</v>
      </c>
      <c r="D106" s="18" t="s">
        <v>24</v>
      </c>
      <c r="E106" s="19">
        <v>42795.0</v>
      </c>
      <c r="F106" s="19">
        <v>43616.0</v>
      </c>
    </row>
    <row r="107" ht="15.75" customHeight="1">
      <c r="A107" s="18" t="s">
        <v>509</v>
      </c>
      <c r="B107" s="18" t="s">
        <v>139</v>
      </c>
      <c r="C107" s="18" t="s">
        <v>251</v>
      </c>
      <c r="D107" s="18" t="s">
        <v>24</v>
      </c>
      <c r="E107" s="19">
        <v>42064.0</v>
      </c>
      <c r="F107" s="19">
        <v>42338.0</v>
      </c>
    </row>
    <row r="108" ht="15.75" customHeight="1">
      <c r="A108" s="18" t="s">
        <v>510</v>
      </c>
      <c r="B108" s="18" t="s">
        <v>139</v>
      </c>
      <c r="C108" s="18" t="s">
        <v>251</v>
      </c>
      <c r="D108" s="18" t="s">
        <v>24</v>
      </c>
      <c r="E108" s="19">
        <v>42675.0</v>
      </c>
      <c r="F108" s="19">
        <v>43616.0</v>
      </c>
    </row>
    <row r="109" ht="15.75" customHeight="1">
      <c r="A109" s="18" t="s">
        <v>510</v>
      </c>
      <c r="B109" s="18" t="s">
        <v>139</v>
      </c>
      <c r="C109" s="18" t="s">
        <v>251</v>
      </c>
      <c r="D109" s="18" t="s">
        <v>24</v>
      </c>
      <c r="E109" s="19">
        <v>41883.0</v>
      </c>
      <c r="F109" s="19">
        <v>42155.0</v>
      </c>
    </row>
    <row r="110" ht="15.75" customHeight="1">
      <c r="A110" s="18" t="s">
        <v>511</v>
      </c>
      <c r="B110" s="18" t="s">
        <v>139</v>
      </c>
      <c r="C110" s="18" t="s">
        <v>280</v>
      </c>
      <c r="D110" s="18" t="s">
        <v>43</v>
      </c>
      <c r="E110" s="19">
        <v>43678.0</v>
      </c>
      <c r="F110" s="19">
        <v>44104.0</v>
      </c>
    </row>
    <row r="111" ht="15.75" customHeight="1">
      <c r="A111" s="18" t="s">
        <v>511</v>
      </c>
      <c r="B111" s="18" t="s">
        <v>139</v>
      </c>
      <c r="C111" s="18" t="s">
        <v>280</v>
      </c>
      <c r="D111" s="18" t="s">
        <v>14</v>
      </c>
      <c r="E111" s="19">
        <v>42309.0</v>
      </c>
      <c r="F111" s="19">
        <v>42582.0</v>
      </c>
    </row>
    <row r="112" ht="15.75" customHeight="1">
      <c r="A112" s="18" t="s">
        <v>512</v>
      </c>
      <c r="B112" s="18" t="s">
        <v>139</v>
      </c>
      <c r="C112" s="18" t="s">
        <v>280</v>
      </c>
      <c r="D112" s="18" t="s">
        <v>14</v>
      </c>
      <c r="E112" s="19">
        <v>44805.0</v>
      </c>
      <c r="F112" s="19">
        <v>45716.0</v>
      </c>
    </row>
    <row r="113" ht="15.75" customHeight="1">
      <c r="A113" s="18" t="s">
        <v>512</v>
      </c>
      <c r="B113" s="18" t="s">
        <v>139</v>
      </c>
      <c r="C113" s="18" t="s">
        <v>280</v>
      </c>
      <c r="D113" s="18" t="s">
        <v>14</v>
      </c>
      <c r="E113" s="19">
        <v>44013.0</v>
      </c>
      <c r="F113" s="19">
        <v>44377.0</v>
      </c>
    </row>
    <row r="114" ht="15.75" customHeight="1">
      <c r="A114" s="18" t="s">
        <v>512</v>
      </c>
      <c r="B114" s="18" t="s">
        <v>139</v>
      </c>
      <c r="C114" s="18" t="s">
        <v>280</v>
      </c>
      <c r="D114" s="18" t="s">
        <v>14</v>
      </c>
      <c r="E114" s="19">
        <v>44562.0</v>
      </c>
      <c r="F114" s="19">
        <v>45473.0</v>
      </c>
    </row>
    <row r="115" ht="15.75" customHeight="1">
      <c r="A115" s="18" t="s">
        <v>512</v>
      </c>
      <c r="B115" s="18" t="s">
        <v>139</v>
      </c>
      <c r="C115" s="18" t="s">
        <v>280</v>
      </c>
      <c r="D115" s="18" t="s">
        <v>14</v>
      </c>
      <c r="E115" s="19">
        <v>45748.0</v>
      </c>
      <c r="F115" s="19">
        <v>46203.0</v>
      </c>
    </row>
    <row r="116" ht="15.75" customHeight="1">
      <c r="A116" s="18" t="s">
        <v>513</v>
      </c>
      <c r="B116" s="18" t="s">
        <v>139</v>
      </c>
      <c r="C116" s="18" t="s">
        <v>280</v>
      </c>
      <c r="D116" s="18" t="s">
        <v>14</v>
      </c>
      <c r="E116" s="19">
        <v>40725.0</v>
      </c>
      <c r="F116" s="19">
        <v>41455.0</v>
      </c>
    </row>
    <row r="117" ht="15.75" customHeight="1">
      <c r="A117" s="18" t="s">
        <v>513</v>
      </c>
      <c r="B117" s="18" t="s">
        <v>139</v>
      </c>
      <c r="C117" s="18" t="s">
        <v>280</v>
      </c>
      <c r="D117" s="18" t="s">
        <v>14</v>
      </c>
      <c r="E117" s="19">
        <v>40026.0</v>
      </c>
      <c r="F117" s="19">
        <v>40209.0</v>
      </c>
    </row>
    <row r="118" ht="15.75" customHeight="1">
      <c r="A118" s="18" t="s">
        <v>514</v>
      </c>
      <c r="B118" s="18" t="s">
        <v>139</v>
      </c>
      <c r="C118" s="18" t="s">
        <v>449</v>
      </c>
      <c r="D118" s="18" t="s">
        <v>19</v>
      </c>
      <c r="E118" s="19">
        <v>42552.0</v>
      </c>
      <c r="F118" s="19">
        <v>42825.0</v>
      </c>
    </row>
    <row r="119" ht="15.75" customHeight="1">
      <c r="A119" s="18" t="s">
        <v>515</v>
      </c>
      <c r="B119" s="18" t="s">
        <v>139</v>
      </c>
      <c r="C119" s="18" t="s">
        <v>202</v>
      </c>
      <c r="D119" s="18" t="s">
        <v>4</v>
      </c>
      <c r="E119" s="19">
        <v>39022.0</v>
      </c>
      <c r="F119" s="19">
        <v>39233.0</v>
      </c>
    </row>
    <row r="120" ht="15.75" customHeight="1">
      <c r="A120" s="18" t="s">
        <v>516</v>
      </c>
      <c r="B120" s="18" t="s">
        <v>139</v>
      </c>
      <c r="C120" s="18" t="s">
        <v>202</v>
      </c>
      <c r="D120" s="18" t="s">
        <v>12</v>
      </c>
      <c r="E120" s="19">
        <v>44805.0</v>
      </c>
      <c r="F120" s="19">
        <v>45199.0</v>
      </c>
    </row>
    <row r="121" ht="15.75" customHeight="1">
      <c r="A121" s="18" t="s">
        <v>517</v>
      </c>
      <c r="B121" s="18" t="s">
        <v>139</v>
      </c>
      <c r="C121" s="18" t="s">
        <v>449</v>
      </c>
      <c r="D121" s="18" t="s">
        <v>11</v>
      </c>
      <c r="E121" s="19">
        <v>43160.0</v>
      </c>
      <c r="F121" s="19">
        <v>43465.0</v>
      </c>
    </row>
    <row r="122" ht="15.75" customHeight="1">
      <c r="A122" s="18" t="s">
        <v>518</v>
      </c>
      <c r="B122" s="18" t="s">
        <v>139</v>
      </c>
      <c r="C122" s="18" t="s">
        <v>147</v>
      </c>
      <c r="D122" s="18" t="s">
        <v>6</v>
      </c>
      <c r="E122" s="19">
        <v>39264.0</v>
      </c>
      <c r="F122" s="19">
        <v>40329.0</v>
      </c>
    </row>
    <row r="123" ht="15.75" customHeight="1">
      <c r="A123" s="18" t="s">
        <v>519</v>
      </c>
      <c r="B123" s="18" t="s">
        <v>139</v>
      </c>
      <c r="C123" s="18" t="s">
        <v>251</v>
      </c>
      <c r="D123" s="18" t="s">
        <v>7</v>
      </c>
      <c r="E123" s="19">
        <v>45383.0</v>
      </c>
      <c r="F123" s="19">
        <v>45657.0</v>
      </c>
    </row>
    <row r="124" ht="15.75" customHeight="1">
      <c r="A124" s="18" t="s">
        <v>520</v>
      </c>
      <c r="B124" s="18" t="s">
        <v>508</v>
      </c>
      <c r="C124" s="18" t="s">
        <v>202</v>
      </c>
      <c r="D124" s="18" t="s">
        <v>9</v>
      </c>
      <c r="E124" s="19">
        <v>38353.0</v>
      </c>
      <c r="F124" s="19">
        <v>39447.0</v>
      </c>
    </row>
    <row r="125" ht="15.75" customHeight="1">
      <c r="A125" s="18" t="s">
        <v>520</v>
      </c>
      <c r="B125" s="18" t="s">
        <v>139</v>
      </c>
      <c r="C125" s="18" t="s">
        <v>202</v>
      </c>
      <c r="D125" s="18" t="s">
        <v>9</v>
      </c>
      <c r="E125" s="19">
        <v>37622.0</v>
      </c>
      <c r="F125" s="19">
        <v>39082.0</v>
      </c>
    </row>
    <row r="126" ht="15.75" customHeight="1">
      <c r="A126" s="18" t="s">
        <v>520</v>
      </c>
      <c r="B126" s="18" t="s">
        <v>139</v>
      </c>
      <c r="C126" s="18" t="s">
        <v>202</v>
      </c>
      <c r="D126" s="18" t="s">
        <v>9</v>
      </c>
      <c r="E126" s="19">
        <v>36800.0</v>
      </c>
      <c r="F126" s="19">
        <v>38533.0</v>
      </c>
    </row>
    <row r="127" ht="15.75" customHeight="1">
      <c r="A127" s="18" t="s">
        <v>520</v>
      </c>
      <c r="B127" s="18" t="s">
        <v>139</v>
      </c>
      <c r="C127" s="18" t="s">
        <v>202</v>
      </c>
      <c r="D127" s="18" t="s">
        <v>9</v>
      </c>
      <c r="E127" s="19">
        <v>38626.0</v>
      </c>
      <c r="F127" s="19">
        <v>39903.0</v>
      </c>
    </row>
    <row r="128" ht="15.75" customHeight="1">
      <c r="A128" s="18" t="s">
        <v>520</v>
      </c>
      <c r="B128" s="18" t="s">
        <v>139</v>
      </c>
      <c r="C128" s="18" t="s">
        <v>147</v>
      </c>
      <c r="D128" s="18" t="s">
        <v>31</v>
      </c>
      <c r="E128" s="19">
        <v>43770.0</v>
      </c>
      <c r="F128" s="19">
        <v>44865.0</v>
      </c>
    </row>
    <row r="129" ht="15.75" customHeight="1">
      <c r="A129" s="18" t="s">
        <v>520</v>
      </c>
      <c r="B129" s="18" t="s">
        <v>139</v>
      </c>
      <c r="C129" s="18" t="s">
        <v>147</v>
      </c>
      <c r="D129" s="18" t="s">
        <v>31</v>
      </c>
      <c r="E129" s="19">
        <v>43344.0</v>
      </c>
      <c r="F129" s="19">
        <v>43646.0</v>
      </c>
    </row>
    <row r="130" ht="15.75" customHeight="1">
      <c r="A130" s="18" t="s">
        <v>520</v>
      </c>
      <c r="B130" s="18" t="s">
        <v>139</v>
      </c>
      <c r="C130" s="18" t="s">
        <v>202</v>
      </c>
      <c r="D130" s="18" t="s">
        <v>9</v>
      </c>
      <c r="E130" s="19">
        <v>38565.0</v>
      </c>
      <c r="F130" s="19">
        <v>39752.0</v>
      </c>
    </row>
    <row r="131" ht="15.75" customHeight="1">
      <c r="A131" s="18" t="s">
        <v>520</v>
      </c>
      <c r="B131" s="18" t="s">
        <v>139</v>
      </c>
      <c r="C131" s="18" t="s">
        <v>202</v>
      </c>
      <c r="D131" s="18" t="s">
        <v>9</v>
      </c>
      <c r="E131" s="19">
        <v>39904.0</v>
      </c>
      <c r="F131" s="19">
        <v>40178.0</v>
      </c>
    </row>
    <row r="132" ht="15.75" customHeight="1">
      <c r="A132" s="18" t="s">
        <v>521</v>
      </c>
      <c r="B132" s="18" t="s">
        <v>139</v>
      </c>
      <c r="C132" s="18" t="s">
        <v>280</v>
      </c>
      <c r="D132" s="18" t="s">
        <v>14</v>
      </c>
      <c r="E132" s="19">
        <v>41821.0</v>
      </c>
      <c r="F132" s="19">
        <v>42094.0</v>
      </c>
    </row>
    <row r="133" ht="15.75" customHeight="1">
      <c r="A133" s="18" t="s">
        <v>522</v>
      </c>
      <c r="B133" s="18" t="s">
        <v>139</v>
      </c>
      <c r="C133" s="18" t="s">
        <v>280</v>
      </c>
      <c r="D133" s="18" t="s">
        <v>16</v>
      </c>
      <c r="E133" s="19">
        <v>41365.0</v>
      </c>
      <c r="F133" s="19">
        <v>41639.0</v>
      </c>
    </row>
    <row r="134" ht="15.75" customHeight="1">
      <c r="A134" s="18" t="s">
        <v>523</v>
      </c>
      <c r="B134" s="18" t="s">
        <v>139</v>
      </c>
      <c r="C134" s="18" t="s">
        <v>280</v>
      </c>
      <c r="D134" s="18" t="s">
        <v>16</v>
      </c>
      <c r="E134" s="19">
        <v>44256.0</v>
      </c>
      <c r="F134" s="19">
        <v>44620.0</v>
      </c>
    </row>
    <row r="135" ht="15.75" customHeight="1">
      <c r="A135" s="18" t="s">
        <v>523</v>
      </c>
      <c r="B135" s="18" t="s">
        <v>139</v>
      </c>
      <c r="C135" s="18" t="s">
        <v>280</v>
      </c>
      <c r="D135" s="18" t="s">
        <v>16</v>
      </c>
      <c r="E135" s="19">
        <v>45901.0</v>
      </c>
      <c r="F135" s="19">
        <v>46630.0</v>
      </c>
    </row>
    <row r="136" ht="15.75" customHeight="1">
      <c r="A136" s="18" t="s">
        <v>524</v>
      </c>
      <c r="B136" s="18" t="s">
        <v>139</v>
      </c>
      <c r="C136" s="18" t="s">
        <v>147</v>
      </c>
      <c r="D136" s="18" t="s">
        <v>3</v>
      </c>
      <c r="E136" s="19">
        <v>43678.0</v>
      </c>
      <c r="F136" s="19">
        <v>44074.0</v>
      </c>
    </row>
    <row r="137" ht="15.75" customHeight="1">
      <c r="A137" s="18" t="s">
        <v>524</v>
      </c>
      <c r="B137" s="18" t="s">
        <v>139</v>
      </c>
      <c r="C137" s="18" t="s">
        <v>147</v>
      </c>
      <c r="D137" s="18" t="s">
        <v>3</v>
      </c>
      <c r="E137" s="19">
        <v>45689.0</v>
      </c>
      <c r="F137" s="19">
        <v>46418.0</v>
      </c>
    </row>
    <row r="138" ht="15.75" customHeight="1">
      <c r="A138" s="18" t="s">
        <v>525</v>
      </c>
      <c r="B138" s="18" t="s">
        <v>139</v>
      </c>
      <c r="C138" s="18" t="s">
        <v>280</v>
      </c>
      <c r="D138" s="18" t="s">
        <v>16</v>
      </c>
      <c r="E138" s="19">
        <v>44652.0</v>
      </c>
      <c r="F138" s="19">
        <v>45382.0</v>
      </c>
    </row>
    <row r="139" ht="15.75" customHeight="1">
      <c r="A139" s="18" t="s">
        <v>525</v>
      </c>
      <c r="B139" s="18" t="s">
        <v>139</v>
      </c>
      <c r="C139" s="18" t="s">
        <v>280</v>
      </c>
      <c r="D139" s="18" t="s">
        <v>16</v>
      </c>
      <c r="E139" s="19">
        <v>44501.0</v>
      </c>
      <c r="F139" s="19">
        <v>45046.0</v>
      </c>
    </row>
    <row r="140" ht="15.75" customHeight="1">
      <c r="A140" s="18" t="s">
        <v>525</v>
      </c>
      <c r="B140" s="18" t="s">
        <v>139</v>
      </c>
      <c r="C140" s="18" t="s">
        <v>280</v>
      </c>
      <c r="D140" s="18" t="s">
        <v>16</v>
      </c>
      <c r="E140" s="19">
        <v>45323.0</v>
      </c>
      <c r="F140" s="19">
        <v>45688.0</v>
      </c>
    </row>
    <row r="141" ht="15.75" customHeight="1">
      <c r="A141" s="18" t="s">
        <v>526</v>
      </c>
      <c r="B141" s="18" t="s">
        <v>139</v>
      </c>
      <c r="C141" s="18" t="s">
        <v>280</v>
      </c>
      <c r="D141" s="18" t="s">
        <v>16</v>
      </c>
      <c r="E141" s="19">
        <v>43313.0</v>
      </c>
      <c r="F141" s="19">
        <v>44043.0</v>
      </c>
    </row>
    <row r="142" ht="15.75" customHeight="1">
      <c r="A142" s="18" t="s">
        <v>526</v>
      </c>
      <c r="B142" s="18" t="s">
        <v>139</v>
      </c>
      <c r="C142" s="18" t="s">
        <v>449</v>
      </c>
      <c r="D142" s="18" t="s">
        <v>29</v>
      </c>
      <c r="E142" s="19">
        <v>42430.0</v>
      </c>
      <c r="F142" s="19">
        <v>42855.0</v>
      </c>
    </row>
    <row r="143" ht="15.75" customHeight="1">
      <c r="A143" s="18" t="s">
        <v>526</v>
      </c>
      <c r="B143" s="18" t="s">
        <v>139</v>
      </c>
      <c r="C143" s="18" t="s">
        <v>449</v>
      </c>
      <c r="D143" s="18" t="s">
        <v>29</v>
      </c>
      <c r="E143" s="19">
        <v>42795.0</v>
      </c>
      <c r="F143" s="19">
        <v>43251.0</v>
      </c>
    </row>
    <row r="144" ht="15.75" customHeight="1">
      <c r="A144" s="18" t="s">
        <v>526</v>
      </c>
      <c r="B144" s="18" t="s">
        <v>139</v>
      </c>
      <c r="C144" s="18" t="s">
        <v>280</v>
      </c>
      <c r="D144" s="18" t="s">
        <v>16</v>
      </c>
      <c r="E144" s="19">
        <v>44105.0</v>
      </c>
      <c r="F144" s="19">
        <v>44500.0</v>
      </c>
    </row>
    <row r="145" ht="15.75" customHeight="1">
      <c r="A145" s="18" t="s">
        <v>527</v>
      </c>
      <c r="B145" s="18" t="s">
        <v>139</v>
      </c>
      <c r="C145" s="18" t="s">
        <v>483</v>
      </c>
      <c r="D145" s="18" t="s">
        <v>484</v>
      </c>
      <c r="E145" s="19">
        <v>45323.0</v>
      </c>
      <c r="F145" s="19">
        <v>45596.0</v>
      </c>
    </row>
    <row r="146" ht="15.75" customHeight="1">
      <c r="A146" s="18" t="s">
        <v>528</v>
      </c>
      <c r="B146" s="18" t="s">
        <v>139</v>
      </c>
      <c r="C146" s="18" t="s">
        <v>147</v>
      </c>
      <c r="D146" s="18" t="s">
        <v>6</v>
      </c>
      <c r="E146" s="19">
        <v>44958.0</v>
      </c>
      <c r="F146" s="19">
        <v>45322.0</v>
      </c>
    </row>
    <row r="147" ht="15.75" customHeight="1">
      <c r="A147" s="18" t="s">
        <v>529</v>
      </c>
      <c r="B147" s="18" t="s">
        <v>139</v>
      </c>
      <c r="C147" s="18" t="s">
        <v>495</v>
      </c>
      <c r="D147" s="18" t="s">
        <v>51</v>
      </c>
      <c r="E147" s="19">
        <v>42217.0</v>
      </c>
      <c r="F147" s="19">
        <v>42490.0</v>
      </c>
    </row>
    <row r="148" ht="15.75" customHeight="1">
      <c r="A148" s="18" t="s">
        <v>530</v>
      </c>
      <c r="B148" s="18" t="s">
        <v>139</v>
      </c>
      <c r="C148" s="18" t="s">
        <v>280</v>
      </c>
      <c r="D148" s="18" t="s">
        <v>14</v>
      </c>
      <c r="E148" s="19">
        <v>40210.0</v>
      </c>
      <c r="F148" s="19">
        <v>40482.0</v>
      </c>
    </row>
    <row r="149" ht="15.75" customHeight="1">
      <c r="A149" s="18" t="s">
        <v>531</v>
      </c>
      <c r="B149" s="18" t="s">
        <v>139</v>
      </c>
      <c r="C149" s="18" t="s">
        <v>449</v>
      </c>
      <c r="D149" s="18" t="s">
        <v>29</v>
      </c>
      <c r="E149" s="19">
        <v>44348.0</v>
      </c>
      <c r="F149" s="19">
        <v>44620.0</v>
      </c>
    </row>
    <row r="150" ht="15.75" customHeight="1">
      <c r="A150" s="18" t="s">
        <v>532</v>
      </c>
      <c r="B150" s="18" t="s">
        <v>139</v>
      </c>
      <c r="C150" s="18" t="s">
        <v>449</v>
      </c>
      <c r="D150" s="18" t="s">
        <v>58</v>
      </c>
      <c r="E150" s="19">
        <v>41091.0</v>
      </c>
      <c r="F150" s="19">
        <v>41455.0</v>
      </c>
    </row>
    <row r="151" ht="15.75" customHeight="1">
      <c r="A151" s="18" t="s">
        <v>533</v>
      </c>
      <c r="B151" s="18" t="s">
        <v>139</v>
      </c>
      <c r="C151" s="18" t="s">
        <v>280</v>
      </c>
      <c r="D151" s="18" t="s">
        <v>16</v>
      </c>
      <c r="E151" s="19">
        <v>43770.0</v>
      </c>
      <c r="F151" s="19">
        <v>44043.0</v>
      </c>
    </row>
    <row r="152" ht="15.75" customHeight="1">
      <c r="A152" s="18" t="s">
        <v>534</v>
      </c>
      <c r="B152" s="18" t="s">
        <v>139</v>
      </c>
      <c r="C152" s="18" t="s">
        <v>147</v>
      </c>
      <c r="D152" s="18" t="s">
        <v>3</v>
      </c>
      <c r="E152" s="19">
        <v>42826.0</v>
      </c>
      <c r="F152" s="19">
        <v>43100.0</v>
      </c>
    </row>
    <row r="153" ht="15.75" customHeight="1">
      <c r="A153" s="18" t="s">
        <v>535</v>
      </c>
      <c r="B153" s="18" t="s">
        <v>139</v>
      </c>
      <c r="C153" s="18" t="s">
        <v>280</v>
      </c>
      <c r="D153" s="18" t="s">
        <v>39</v>
      </c>
      <c r="E153" s="19">
        <v>45017.0</v>
      </c>
      <c r="F153" s="19">
        <v>45747.0</v>
      </c>
    </row>
    <row r="154" ht="15.75" customHeight="1">
      <c r="A154" s="18" t="s">
        <v>535</v>
      </c>
      <c r="B154" s="18" t="s">
        <v>139</v>
      </c>
      <c r="C154" s="18" t="s">
        <v>280</v>
      </c>
      <c r="D154" s="18" t="s">
        <v>39</v>
      </c>
      <c r="E154" s="19">
        <v>44348.0</v>
      </c>
      <c r="F154" s="19">
        <v>44620.0</v>
      </c>
    </row>
    <row r="155" ht="15.75" customHeight="1">
      <c r="A155" s="18" t="s">
        <v>536</v>
      </c>
      <c r="B155" s="18" t="s">
        <v>139</v>
      </c>
      <c r="C155" s="18" t="s">
        <v>202</v>
      </c>
      <c r="D155" s="18" t="s">
        <v>4</v>
      </c>
      <c r="E155" s="19">
        <v>44136.0</v>
      </c>
      <c r="F155" s="19">
        <v>44500.0</v>
      </c>
    </row>
    <row r="156" ht="15.75" customHeight="1">
      <c r="A156" s="18" t="s">
        <v>537</v>
      </c>
      <c r="B156" s="18" t="s">
        <v>139</v>
      </c>
      <c r="C156" s="18" t="s">
        <v>251</v>
      </c>
      <c r="D156" s="18" t="s">
        <v>7</v>
      </c>
      <c r="E156" s="19">
        <v>43525.0</v>
      </c>
      <c r="F156" s="19">
        <v>43830.0</v>
      </c>
    </row>
    <row r="157" ht="15.75" customHeight="1">
      <c r="A157" s="18" t="s">
        <v>537</v>
      </c>
      <c r="B157" s="18" t="s">
        <v>139</v>
      </c>
      <c r="C157" s="18" t="s">
        <v>251</v>
      </c>
      <c r="D157" s="18" t="s">
        <v>7</v>
      </c>
      <c r="E157" s="19">
        <v>45413.0</v>
      </c>
      <c r="F157" s="19">
        <v>45688.0</v>
      </c>
    </row>
    <row r="158" ht="15.75" customHeight="1">
      <c r="A158" s="18" t="s">
        <v>537</v>
      </c>
      <c r="B158" s="18" t="s">
        <v>139</v>
      </c>
      <c r="C158" s="18" t="s">
        <v>202</v>
      </c>
      <c r="D158" s="18" t="s">
        <v>12</v>
      </c>
      <c r="E158" s="19">
        <v>44287.0</v>
      </c>
      <c r="F158" s="19">
        <v>45199.0</v>
      </c>
    </row>
    <row r="159" ht="15.75" customHeight="1">
      <c r="A159" s="18" t="s">
        <v>538</v>
      </c>
      <c r="B159" s="18" t="s">
        <v>139</v>
      </c>
      <c r="C159" s="18" t="s">
        <v>202</v>
      </c>
      <c r="D159" s="18" t="s">
        <v>22</v>
      </c>
      <c r="E159" s="19">
        <v>44136.0</v>
      </c>
      <c r="F159" s="19">
        <v>45046.0</v>
      </c>
    </row>
    <row r="160" ht="15.75" customHeight="1">
      <c r="A160" s="18" t="s">
        <v>539</v>
      </c>
      <c r="B160" s="18" t="s">
        <v>139</v>
      </c>
      <c r="C160" s="18" t="s">
        <v>449</v>
      </c>
      <c r="D160" s="18" t="s">
        <v>19</v>
      </c>
      <c r="E160" s="19">
        <v>45231.0</v>
      </c>
      <c r="F160" s="19">
        <v>45504.0</v>
      </c>
    </row>
    <row r="161" ht="15.75" customHeight="1">
      <c r="A161" s="18" t="s">
        <v>540</v>
      </c>
      <c r="B161" s="18" t="s">
        <v>139</v>
      </c>
      <c r="C161" s="18" t="s">
        <v>483</v>
      </c>
      <c r="D161" s="18" t="s">
        <v>484</v>
      </c>
      <c r="E161" s="19">
        <v>42795.0</v>
      </c>
      <c r="F161" s="19">
        <v>43069.0</v>
      </c>
    </row>
    <row r="162" ht="15.75" customHeight="1">
      <c r="A162" s="18" t="s">
        <v>540</v>
      </c>
      <c r="B162" s="18" t="s">
        <v>139</v>
      </c>
      <c r="C162" s="18" t="s">
        <v>483</v>
      </c>
      <c r="D162" s="18" t="s">
        <v>484</v>
      </c>
      <c r="E162" s="19">
        <v>43282.0</v>
      </c>
      <c r="F162" s="19">
        <v>44742.0</v>
      </c>
    </row>
    <row r="163" ht="15.75" customHeight="1">
      <c r="A163" s="18" t="s">
        <v>541</v>
      </c>
      <c r="B163" s="18" t="s">
        <v>139</v>
      </c>
      <c r="C163" s="18" t="s">
        <v>202</v>
      </c>
      <c r="D163" s="18" t="s">
        <v>9</v>
      </c>
      <c r="E163" s="19">
        <v>43525.0</v>
      </c>
      <c r="F163" s="19">
        <v>44255.0</v>
      </c>
    </row>
    <row r="164" ht="15.75" customHeight="1">
      <c r="A164" s="18" t="s">
        <v>541</v>
      </c>
      <c r="B164" s="18" t="s">
        <v>139</v>
      </c>
      <c r="C164" s="18" t="s">
        <v>202</v>
      </c>
      <c r="D164" s="18" t="s">
        <v>9</v>
      </c>
      <c r="E164" s="19">
        <v>42887.0</v>
      </c>
      <c r="F164" s="19">
        <v>43220.0</v>
      </c>
    </row>
    <row r="165" ht="15.75" customHeight="1">
      <c r="A165" s="18" t="s">
        <v>542</v>
      </c>
      <c r="B165" s="18" t="s">
        <v>139</v>
      </c>
      <c r="C165" s="18" t="s">
        <v>280</v>
      </c>
      <c r="D165" s="18" t="s">
        <v>14</v>
      </c>
      <c r="E165" s="19">
        <v>44774.0</v>
      </c>
      <c r="F165" s="19">
        <v>45657.0</v>
      </c>
    </row>
    <row r="166" ht="15.75" customHeight="1">
      <c r="A166" s="18" t="s">
        <v>542</v>
      </c>
      <c r="B166" s="18" t="s">
        <v>139</v>
      </c>
      <c r="C166" s="18" t="s">
        <v>280</v>
      </c>
      <c r="D166" s="18" t="s">
        <v>14</v>
      </c>
      <c r="E166" s="19">
        <v>44378.0</v>
      </c>
      <c r="F166" s="19">
        <v>44651.0</v>
      </c>
    </row>
    <row r="167" ht="15.75" customHeight="1">
      <c r="A167" s="18" t="s">
        <v>542</v>
      </c>
      <c r="B167" s="18" t="s">
        <v>139</v>
      </c>
      <c r="C167" s="18" t="s">
        <v>280</v>
      </c>
      <c r="D167" s="18" t="s">
        <v>14</v>
      </c>
      <c r="E167" s="19">
        <v>45108.0</v>
      </c>
      <c r="F167" s="19">
        <v>45473.0</v>
      </c>
    </row>
    <row r="168" ht="15.75" customHeight="1">
      <c r="A168" s="18" t="s">
        <v>543</v>
      </c>
      <c r="B168" s="18" t="s">
        <v>139</v>
      </c>
      <c r="C168" s="18" t="s">
        <v>202</v>
      </c>
      <c r="D168" s="18" t="s">
        <v>12</v>
      </c>
      <c r="E168" s="19">
        <v>44866.0</v>
      </c>
      <c r="F168" s="19">
        <v>45596.0</v>
      </c>
    </row>
    <row r="169" ht="15.75" customHeight="1">
      <c r="A169" s="18" t="s">
        <v>543</v>
      </c>
      <c r="B169" s="18" t="s">
        <v>139</v>
      </c>
      <c r="C169" s="18" t="s">
        <v>202</v>
      </c>
      <c r="D169" s="18" t="s">
        <v>12</v>
      </c>
      <c r="E169" s="19">
        <v>44044.0</v>
      </c>
      <c r="F169" s="19">
        <v>44316.0</v>
      </c>
    </row>
    <row r="170" ht="15.75" customHeight="1">
      <c r="A170" s="18" t="s">
        <v>544</v>
      </c>
      <c r="B170" s="18" t="s">
        <v>139</v>
      </c>
      <c r="C170" s="18" t="s">
        <v>280</v>
      </c>
      <c r="D170" s="18" t="s">
        <v>16</v>
      </c>
      <c r="E170" s="19">
        <v>43709.0</v>
      </c>
      <c r="F170" s="19">
        <v>44043.0</v>
      </c>
    </row>
    <row r="171" ht="15.75" customHeight="1">
      <c r="A171" s="18" t="s">
        <v>544</v>
      </c>
      <c r="B171" s="18" t="s">
        <v>139</v>
      </c>
      <c r="C171" s="18" t="s">
        <v>280</v>
      </c>
      <c r="D171" s="18" t="s">
        <v>16</v>
      </c>
      <c r="E171" s="19">
        <v>44228.0</v>
      </c>
      <c r="F171" s="19">
        <v>44957.0</v>
      </c>
    </row>
    <row r="172" ht="15.75" customHeight="1">
      <c r="A172" s="18" t="s">
        <v>545</v>
      </c>
      <c r="B172" s="18" t="s">
        <v>139</v>
      </c>
      <c r="C172" s="18" t="s">
        <v>202</v>
      </c>
      <c r="D172" s="18" t="s">
        <v>10</v>
      </c>
      <c r="E172" s="19">
        <v>38565.0</v>
      </c>
      <c r="F172" s="19">
        <v>39294.0</v>
      </c>
    </row>
    <row r="173" ht="15.75" customHeight="1">
      <c r="A173" s="18" t="s">
        <v>546</v>
      </c>
      <c r="B173" s="18" t="s">
        <v>139</v>
      </c>
      <c r="C173" s="18" t="s">
        <v>202</v>
      </c>
      <c r="D173" s="18" t="s">
        <v>12</v>
      </c>
      <c r="E173" s="19">
        <v>35796.0</v>
      </c>
      <c r="F173" s="19">
        <v>36860.0</v>
      </c>
    </row>
    <row r="174" ht="15.75" customHeight="1">
      <c r="A174" s="18" t="s">
        <v>547</v>
      </c>
      <c r="B174" s="18" t="s">
        <v>139</v>
      </c>
      <c r="C174" s="18" t="s">
        <v>147</v>
      </c>
      <c r="D174" s="18" t="s">
        <v>6</v>
      </c>
      <c r="E174" s="19">
        <v>45627.0</v>
      </c>
      <c r="F174" s="19">
        <v>46356.0</v>
      </c>
    </row>
    <row r="175" ht="15.75" customHeight="1">
      <c r="A175" s="18" t="s">
        <v>547</v>
      </c>
      <c r="B175" s="18" t="s">
        <v>139</v>
      </c>
      <c r="C175" s="18" t="s">
        <v>147</v>
      </c>
      <c r="D175" s="18" t="s">
        <v>6</v>
      </c>
      <c r="E175" s="19">
        <v>44958.0</v>
      </c>
      <c r="F175" s="19">
        <v>45230.0</v>
      </c>
    </row>
    <row r="176" ht="15.75" customHeight="1">
      <c r="A176" s="18" t="s">
        <v>548</v>
      </c>
      <c r="B176" s="18" t="s">
        <v>139</v>
      </c>
      <c r="C176" s="18" t="s">
        <v>280</v>
      </c>
      <c r="D176" s="18" t="s">
        <v>85</v>
      </c>
      <c r="E176" s="19">
        <v>44562.0</v>
      </c>
      <c r="F176" s="19">
        <v>44926.0</v>
      </c>
    </row>
    <row r="177" ht="15.75" customHeight="1">
      <c r="A177" s="18" t="s">
        <v>549</v>
      </c>
      <c r="B177" s="18" t="s">
        <v>139</v>
      </c>
      <c r="C177" s="18" t="s">
        <v>280</v>
      </c>
      <c r="D177" s="18" t="s">
        <v>14</v>
      </c>
      <c r="E177" s="19">
        <v>44774.0</v>
      </c>
      <c r="F177" s="19">
        <v>45869.0</v>
      </c>
    </row>
    <row r="178" ht="15.75" customHeight="1">
      <c r="A178" s="18" t="s">
        <v>549</v>
      </c>
      <c r="B178" s="18" t="s">
        <v>139</v>
      </c>
      <c r="C178" s="18" t="s">
        <v>280</v>
      </c>
      <c r="D178" s="18" t="s">
        <v>14</v>
      </c>
      <c r="E178" s="19">
        <v>43617.0</v>
      </c>
      <c r="F178" s="19">
        <v>43890.0</v>
      </c>
    </row>
    <row r="179" ht="15.75" customHeight="1">
      <c r="A179" s="18" t="s">
        <v>550</v>
      </c>
      <c r="B179" s="18" t="s">
        <v>139</v>
      </c>
      <c r="C179" s="18" t="s">
        <v>449</v>
      </c>
      <c r="D179" s="18" t="s">
        <v>19</v>
      </c>
      <c r="E179" s="19">
        <v>39934.0</v>
      </c>
      <c r="F179" s="19">
        <v>40117.0</v>
      </c>
    </row>
    <row r="180" ht="15.75" customHeight="1">
      <c r="A180" s="18" t="s">
        <v>550</v>
      </c>
      <c r="B180" s="18" t="s">
        <v>508</v>
      </c>
      <c r="C180" s="18" t="s">
        <v>202</v>
      </c>
      <c r="D180" s="18" t="s">
        <v>12</v>
      </c>
      <c r="E180" s="19">
        <v>40940.0</v>
      </c>
      <c r="F180" s="19">
        <v>41670.0</v>
      </c>
    </row>
    <row r="181" ht="15.75" customHeight="1">
      <c r="A181" s="18" t="s">
        <v>550</v>
      </c>
      <c r="B181" s="18" t="s">
        <v>139</v>
      </c>
      <c r="C181" s="18" t="s">
        <v>202</v>
      </c>
      <c r="D181" s="18" t="s">
        <v>12</v>
      </c>
      <c r="E181" s="19">
        <v>39904.0</v>
      </c>
      <c r="F181" s="19">
        <v>40694.0</v>
      </c>
    </row>
    <row r="182" ht="15.75" customHeight="1">
      <c r="A182" s="18" t="s">
        <v>550</v>
      </c>
      <c r="B182" s="18" t="s">
        <v>139</v>
      </c>
      <c r="C182" s="18" t="s">
        <v>202</v>
      </c>
      <c r="D182" s="18" t="s">
        <v>12</v>
      </c>
      <c r="E182" s="19">
        <v>41883.0</v>
      </c>
      <c r="F182" s="19">
        <v>42855.0</v>
      </c>
    </row>
    <row r="183" ht="15.75" customHeight="1">
      <c r="A183" s="18" t="s">
        <v>550</v>
      </c>
      <c r="B183" s="18" t="s">
        <v>139</v>
      </c>
      <c r="C183" s="18" t="s">
        <v>449</v>
      </c>
      <c r="D183" s="18" t="s">
        <v>19</v>
      </c>
      <c r="E183" s="19">
        <v>41214.0</v>
      </c>
      <c r="F183" s="19">
        <v>41486.0</v>
      </c>
    </row>
    <row r="184" ht="15.75" customHeight="1">
      <c r="A184" s="18" t="s">
        <v>550</v>
      </c>
      <c r="B184" s="18" t="s">
        <v>139</v>
      </c>
      <c r="C184" s="18" t="s">
        <v>449</v>
      </c>
      <c r="D184" s="18" t="s">
        <v>19</v>
      </c>
      <c r="E184" s="19">
        <v>40634.0</v>
      </c>
      <c r="F184" s="19">
        <v>41364.0</v>
      </c>
    </row>
    <row r="185" ht="15.75" customHeight="1">
      <c r="A185" s="18" t="s">
        <v>550</v>
      </c>
      <c r="B185" s="18" t="s">
        <v>139</v>
      </c>
      <c r="C185" s="18" t="s">
        <v>449</v>
      </c>
      <c r="D185" s="18" t="s">
        <v>19</v>
      </c>
      <c r="E185" s="19">
        <v>39508.0</v>
      </c>
      <c r="F185" s="19">
        <v>40237.0</v>
      </c>
    </row>
    <row r="186" ht="15.75" customHeight="1">
      <c r="A186" s="18" t="s">
        <v>551</v>
      </c>
      <c r="B186" s="18" t="s">
        <v>139</v>
      </c>
      <c r="C186" s="18" t="s">
        <v>449</v>
      </c>
      <c r="D186" s="18" t="s">
        <v>19</v>
      </c>
      <c r="E186" s="19">
        <v>39965.0</v>
      </c>
      <c r="F186" s="19">
        <v>40147.0</v>
      </c>
    </row>
    <row r="187" ht="15.75" customHeight="1">
      <c r="A187" s="18" t="s">
        <v>551</v>
      </c>
      <c r="B187" s="18" t="s">
        <v>139</v>
      </c>
      <c r="C187" s="18" t="s">
        <v>449</v>
      </c>
      <c r="D187" s="18" t="s">
        <v>19</v>
      </c>
      <c r="E187" s="19">
        <v>41306.0</v>
      </c>
      <c r="F187" s="19">
        <v>41578.0</v>
      </c>
    </row>
    <row r="188" ht="15.75" customHeight="1">
      <c r="A188" s="18" t="s">
        <v>551</v>
      </c>
      <c r="B188" s="18" t="s">
        <v>139</v>
      </c>
      <c r="C188" s="18" t="s">
        <v>449</v>
      </c>
      <c r="D188" s="18" t="s">
        <v>19</v>
      </c>
      <c r="E188" s="19">
        <v>41974.0</v>
      </c>
      <c r="F188" s="19">
        <v>42886.0</v>
      </c>
    </row>
    <row r="189" ht="15.75" customHeight="1">
      <c r="A189" s="18" t="s">
        <v>551</v>
      </c>
      <c r="B189" s="18" t="s">
        <v>139</v>
      </c>
      <c r="C189" s="18" t="s">
        <v>449</v>
      </c>
      <c r="D189" s="18" t="s">
        <v>19</v>
      </c>
      <c r="E189" s="19">
        <v>40026.0</v>
      </c>
      <c r="F189" s="19">
        <v>40755.0</v>
      </c>
    </row>
    <row r="190" ht="15.75" customHeight="1">
      <c r="A190" s="18" t="s">
        <v>552</v>
      </c>
      <c r="B190" s="18" t="s">
        <v>139</v>
      </c>
      <c r="C190" s="18" t="s">
        <v>449</v>
      </c>
      <c r="D190" s="18" t="s">
        <v>11</v>
      </c>
      <c r="E190" s="19">
        <v>40544.0</v>
      </c>
      <c r="F190" s="19">
        <v>40816.0</v>
      </c>
    </row>
    <row r="191" ht="15.75" customHeight="1">
      <c r="A191" s="18" t="s">
        <v>552</v>
      </c>
      <c r="B191" s="18" t="s">
        <v>139</v>
      </c>
      <c r="C191" s="18" t="s">
        <v>449</v>
      </c>
      <c r="D191" s="18" t="s">
        <v>11</v>
      </c>
      <c r="E191" s="19">
        <v>40940.0</v>
      </c>
      <c r="F191" s="19">
        <v>41213.0</v>
      </c>
    </row>
    <row r="192" ht="15.75" customHeight="1">
      <c r="A192" s="18" t="s">
        <v>553</v>
      </c>
      <c r="B192" s="18" t="s">
        <v>139</v>
      </c>
      <c r="C192" s="18" t="s">
        <v>202</v>
      </c>
      <c r="D192" s="18" t="s">
        <v>53</v>
      </c>
      <c r="E192" s="19">
        <v>39722.0</v>
      </c>
      <c r="F192" s="19">
        <v>39903.0</v>
      </c>
    </row>
    <row r="193" ht="15.75" customHeight="1">
      <c r="A193" s="18" t="s">
        <v>554</v>
      </c>
      <c r="B193" s="18" t="s">
        <v>139</v>
      </c>
      <c r="C193" s="18" t="s">
        <v>449</v>
      </c>
      <c r="D193" s="18" t="s">
        <v>11</v>
      </c>
      <c r="E193" s="19">
        <v>45536.0</v>
      </c>
      <c r="F193" s="19">
        <v>45808.0</v>
      </c>
    </row>
    <row r="194" ht="15.75" customHeight="1">
      <c r="A194" s="18" t="s">
        <v>555</v>
      </c>
      <c r="B194" s="18" t="s">
        <v>139</v>
      </c>
      <c r="C194" s="18" t="s">
        <v>251</v>
      </c>
      <c r="D194" s="18" t="s">
        <v>17</v>
      </c>
      <c r="E194" s="19">
        <v>44682.0</v>
      </c>
      <c r="F194" s="19">
        <v>44957.0</v>
      </c>
    </row>
    <row r="195" ht="15.75" customHeight="1">
      <c r="A195" s="18" t="s">
        <v>555</v>
      </c>
      <c r="B195" s="18" t="s">
        <v>139</v>
      </c>
      <c r="C195" s="18" t="s">
        <v>280</v>
      </c>
      <c r="D195" s="18" t="s">
        <v>14</v>
      </c>
      <c r="E195" s="19">
        <v>45108.0</v>
      </c>
      <c r="F195" s="19">
        <v>45535.0</v>
      </c>
    </row>
    <row r="196" ht="15.75" customHeight="1">
      <c r="A196" s="49" t="s">
        <v>555</v>
      </c>
      <c r="B196" s="49" t="s">
        <v>139</v>
      </c>
      <c r="C196" s="49" t="s">
        <v>449</v>
      </c>
      <c r="D196" s="49" t="s">
        <v>54</v>
      </c>
      <c r="E196" s="50">
        <v>43282.0</v>
      </c>
      <c r="F196" s="50">
        <v>43555.0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>
      <c r="A220" s="9" t="s">
        <v>556</v>
      </c>
      <c r="B220" s="7" t="s">
        <v>557</v>
      </c>
    </row>
    <row r="221" ht="15.75" customHeight="1">
      <c r="A221" s="51" t="s">
        <v>251</v>
      </c>
      <c r="B221" s="9">
        <v>25.0</v>
      </c>
    </row>
    <row r="222" ht="15.75" customHeight="1">
      <c r="A222" s="51" t="s">
        <v>449</v>
      </c>
      <c r="B222" s="9">
        <v>40.0</v>
      </c>
    </row>
    <row r="223" ht="15.75" customHeight="1">
      <c r="A223" s="51" t="s">
        <v>280</v>
      </c>
      <c r="B223" s="9">
        <v>69.0</v>
      </c>
    </row>
    <row r="224" ht="15.75" customHeight="1">
      <c r="A224" s="51" t="s">
        <v>147</v>
      </c>
      <c r="B224" s="9">
        <v>18.0</v>
      </c>
    </row>
    <row r="225" ht="15.75" customHeight="1">
      <c r="A225" s="51" t="s">
        <v>478</v>
      </c>
      <c r="B225" s="9">
        <v>1.0</v>
      </c>
    </row>
    <row r="226" ht="15.75" customHeight="1">
      <c r="A226" s="51" t="s">
        <v>495</v>
      </c>
      <c r="B226" s="9">
        <v>2.0</v>
      </c>
    </row>
    <row r="227" ht="15.75" customHeight="1">
      <c r="A227" s="51" t="s">
        <v>202</v>
      </c>
      <c r="B227" s="9">
        <v>34.0</v>
      </c>
    </row>
    <row r="228" ht="15.75" customHeight="1">
      <c r="A228" s="51" t="s">
        <v>483</v>
      </c>
      <c r="B228" s="9">
        <v>5.0</v>
      </c>
    </row>
    <row r="229" ht="15.75" customHeight="1">
      <c r="A229" s="51" t="s">
        <v>558</v>
      </c>
      <c r="B229" s="9">
        <v>194.0</v>
      </c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0035FD2-6548-470F-8FD6-64CFFEB4B31A}" filter="1" showAutoFilter="1">
      <autoFilter ref="$A$2:$F$196"/>
    </customSheetView>
  </customSheetViews>
  <mergeCells count="1">
    <mergeCell ref="A1:F1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7.71"/>
    <col customWidth="1" min="3" max="6" width="5.0"/>
    <col customWidth="1" min="7" max="7" width="22.43"/>
    <col customWidth="1" min="8" max="26" width="8.71"/>
  </cols>
  <sheetData>
    <row r="1">
      <c r="A1" s="25" t="s">
        <v>439</v>
      </c>
      <c r="B1" s="27"/>
      <c r="C1" s="27"/>
      <c r="D1" s="27"/>
      <c r="E1" s="27"/>
      <c r="F1" s="27"/>
      <c r="G1" s="27"/>
    </row>
    <row r="2">
      <c r="A2" s="30" t="s">
        <v>451</v>
      </c>
      <c r="B2" s="31" t="s">
        <v>454</v>
      </c>
      <c r="C2" s="32"/>
      <c r="D2" s="32"/>
      <c r="E2" s="32"/>
      <c r="F2" s="32"/>
      <c r="G2" s="33" t="s">
        <v>458</v>
      </c>
    </row>
    <row r="3">
      <c r="A3" s="30" t="s">
        <v>106</v>
      </c>
      <c r="B3" s="34" t="s">
        <v>459</v>
      </c>
      <c r="C3" s="34" t="s">
        <v>460</v>
      </c>
      <c r="D3" s="34" t="s">
        <v>461</v>
      </c>
      <c r="E3" s="34" t="s">
        <v>462</v>
      </c>
      <c r="F3" s="34" t="s">
        <v>463</v>
      </c>
      <c r="G3" s="35" t="s">
        <v>464</v>
      </c>
    </row>
    <row r="4">
      <c r="A4" s="7" t="s">
        <v>51</v>
      </c>
      <c r="B4" s="9">
        <v>1.0</v>
      </c>
      <c r="C4" s="9">
        <v>3.0</v>
      </c>
      <c r="D4" s="9">
        <v>5.0</v>
      </c>
      <c r="E4" s="9">
        <v>0.0</v>
      </c>
      <c r="F4" s="9">
        <v>3.0</v>
      </c>
      <c r="G4" s="36">
        <f t="shared" ref="G4:G56" si="1">IF(B4=0,"",(F4-B4)/B4)</f>
        <v>2</v>
      </c>
    </row>
    <row r="5">
      <c r="A5" s="7" t="s">
        <v>7</v>
      </c>
      <c r="B5" s="9">
        <v>8.0</v>
      </c>
      <c r="C5" s="9">
        <v>21.0</v>
      </c>
      <c r="D5" s="9">
        <v>21.0</v>
      </c>
      <c r="E5" s="9">
        <v>31.0</v>
      </c>
      <c r="F5" s="9">
        <v>20.0</v>
      </c>
      <c r="G5" s="36">
        <f t="shared" si="1"/>
        <v>1.5</v>
      </c>
    </row>
    <row r="6">
      <c r="A6" s="7" t="s">
        <v>59</v>
      </c>
      <c r="B6" s="9">
        <v>4.0</v>
      </c>
      <c r="C6" s="9">
        <v>3.0</v>
      </c>
      <c r="D6" s="9">
        <v>0.0</v>
      </c>
      <c r="E6" s="9">
        <v>2.0</v>
      </c>
      <c r="F6" s="9">
        <v>0.0</v>
      </c>
      <c r="G6" s="36">
        <f t="shared" si="1"/>
        <v>-1</v>
      </c>
    </row>
    <row r="7">
      <c r="A7" s="7" t="s">
        <v>58</v>
      </c>
      <c r="B7" s="9">
        <v>4.0</v>
      </c>
      <c r="C7" s="9">
        <v>2.0</v>
      </c>
      <c r="D7" s="9">
        <v>2.0</v>
      </c>
      <c r="E7" s="9">
        <v>0.0</v>
      </c>
      <c r="F7" s="9">
        <v>2.0</v>
      </c>
      <c r="G7" s="36">
        <f t="shared" si="1"/>
        <v>-0.5</v>
      </c>
    </row>
    <row r="8">
      <c r="A8" s="7" t="s">
        <v>41</v>
      </c>
      <c r="B8" s="9">
        <v>3.0</v>
      </c>
      <c r="C8" s="9">
        <v>10.0</v>
      </c>
      <c r="D8" s="9">
        <v>0.0</v>
      </c>
      <c r="E8" s="9">
        <v>5.0</v>
      </c>
      <c r="F8" s="9">
        <v>1.0</v>
      </c>
      <c r="G8" s="36">
        <f t="shared" si="1"/>
        <v>-0.6666666667</v>
      </c>
    </row>
    <row r="9">
      <c r="A9" s="7" t="s">
        <v>19</v>
      </c>
      <c r="B9" s="9">
        <v>13.0</v>
      </c>
      <c r="C9" s="9">
        <v>4.0</v>
      </c>
      <c r="D9" s="9">
        <v>7.0</v>
      </c>
      <c r="E9" s="9">
        <v>2.0</v>
      </c>
      <c r="F9" s="9">
        <v>8.0</v>
      </c>
      <c r="G9" s="36">
        <f t="shared" si="1"/>
        <v>-0.3846153846</v>
      </c>
    </row>
    <row r="10">
      <c r="A10" s="7" t="s">
        <v>56</v>
      </c>
      <c r="B10" s="9">
        <v>2.0</v>
      </c>
      <c r="C10" s="9">
        <v>0.0</v>
      </c>
      <c r="D10" s="9">
        <v>4.0</v>
      </c>
      <c r="E10" s="9">
        <v>2.0</v>
      </c>
      <c r="F10" s="9">
        <v>8.0</v>
      </c>
      <c r="G10" s="36">
        <f t="shared" si="1"/>
        <v>3</v>
      </c>
    </row>
    <row r="11">
      <c r="A11" s="7" t="s">
        <v>3</v>
      </c>
      <c r="B11" s="9">
        <v>29.0</v>
      </c>
      <c r="C11" s="9">
        <v>14.0</v>
      </c>
      <c r="D11" s="9">
        <v>48.0</v>
      </c>
      <c r="E11" s="9">
        <v>24.0</v>
      </c>
      <c r="F11" s="9">
        <v>11.0</v>
      </c>
      <c r="G11" s="36">
        <f t="shared" si="1"/>
        <v>-0.6206896552</v>
      </c>
    </row>
    <row r="12">
      <c r="A12" s="7" t="s">
        <v>17</v>
      </c>
      <c r="B12" s="9">
        <v>9.0</v>
      </c>
      <c r="C12" s="9">
        <v>11.0</v>
      </c>
      <c r="D12" s="9">
        <v>11.0</v>
      </c>
      <c r="E12" s="9">
        <v>10.0</v>
      </c>
      <c r="F12" s="9">
        <v>3.0</v>
      </c>
      <c r="G12" s="36">
        <f t="shared" si="1"/>
        <v>-0.6666666667</v>
      </c>
    </row>
    <row r="13">
      <c r="A13" s="7" t="s">
        <v>97</v>
      </c>
      <c r="B13" s="9">
        <v>0.0</v>
      </c>
      <c r="C13" s="9">
        <v>1.0</v>
      </c>
      <c r="D13" s="9">
        <v>1.0</v>
      </c>
      <c r="E13" s="9">
        <v>0.0</v>
      </c>
      <c r="F13" s="9">
        <v>0.0</v>
      </c>
      <c r="G13" s="36" t="str">
        <f t="shared" si="1"/>
        <v/>
      </c>
    </row>
    <row r="14">
      <c r="A14" s="7" t="s">
        <v>75</v>
      </c>
      <c r="B14" s="9">
        <v>2.0</v>
      </c>
      <c r="C14" s="9">
        <v>0.0</v>
      </c>
      <c r="D14" s="9">
        <v>0.0</v>
      </c>
      <c r="E14" s="9">
        <v>0.0</v>
      </c>
      <c r="F14" s="9">
        <v>0.0</v>
      </c>
      <c r="G14" s="36">
        <f t="shared" si="1"/>
        <v>-1</v>
      </c>
    </row>
    <row r="15">
      <c r="A15" s="7" t="s">
        <v>48</v>
      </c>
      <c r="B15" s="9">
        <v>5.0</v>
      </c>
      <c r="C15" s="9">
        <v>2.0</v>
      </c>
      <c r="D15" s="9">
        <v>6.0</v>
      </c>
      <c r="E15" s="9">
        <v>2.0</v>
      </c>
      <c r="F15" s="9">
        <v>0.0</v>
      </c>
      <c r="G15" s="36">
        <f t="shared" si="1"/>
        <v>-1</v>
      </c>
    </row>
    <row r="16">
      <c r="A16" s="7" t="s">
        <v>62</v>
      </c>
      <c r="B16" s="9">
        <v>5.0</v>
      </c>
      <c r="C16" s="9">
        <v>2.0</v>
      </c>
      <c r="D16" s="9">
        <v>0.0</v>
      </c>
      <c r="E16" s="9">
        <v>0.0</v>
      </c>
      <c r="F16" s="9">
        <v>0.0</v>
      </c>
      <c r="G16" s="36">
        <f t="shared" si="1"/>
        <v>-1</v>
      </c>
    </row>
    <row r="17">
      <c r="A17" s="7" t="s">
        <v>46</v>
      </c>
      <c r="B17" s="9">
        <v>4.0</v>
      </c>
      <c r="C17" s="9">
        <v>3.0</v>
      </c>
      <c r="D17" s="9">
        <v>7.0</v>
      </c>
      <c r="E17" s="9">
        <v>0.0</v>
      </c>
      <c r="F17" s="9">
        <v>0.0</v>
      </c>
      <c r="G17" s="36">
        <f t="shared" si="1"/>
        <v>-1</v>
      </c>
    </row>
    <row r="18">
      <c r="A18" s="7" t="s">
        <v>80</v>
      </c>
      <c r="B18" s="9">
        <v>0.0</v>
      </c>
      <c r="C18" s="9">
        <v>0.0</v>
      </c>
      <c r="D18" s="9">
        <v>2.0</v>
      </c>
      <c r="E18" s="9">
        <v>0.0</v>
      </c>
      <c r="F18" s="9">
        <v>0.0</v>
      </c>
      <c r="G18" s="36" t="str">
        <f t="shared" si="1"/>
        <v/>
      </c>
    </row>
    <row r="19">
      <c r="A19" s="7" t="s">
        <v>85</v>
      </c>
      <c r="B19" s="9">
        <v>0.0</v>
      </c>
      <c r="C19" s="9">
        <v>2.0</v>
      </c>
      <c r="D19" s="9">
        <v>0.0</v>
      </c>
      <c r="E19" s="9">
        <v>2.0</v>
      </c>
      <c r="F19" s="9">
        <v>0.0</v>
      </c>
      <c r="G19" s="36" t="str">
        <f t="shared" si="1"/>
        <v/>
      </c>
    </row>
    <row r="20">
      <c r="A20" s="7" t="s">
        <v>22</v>
      </c>
      <c r="B20" s="9">
        <v>7.0</v>
      </c>
      <c r="C20" s="9">
        <v>2.0</v>
      </c>
      <c r="D20" s="9">
        <v>4.0</v>
      </c>
      <c r="E20" s="9">
        <v>2.0</v>
      </c>
      <c r="F20" s="9">
        <v>2.0</v>
      </c>
      <c r="G20" s="36">
        <f t="shared" si="1"/>
        <v>-0.7142857143</v>
      </c>
    </row>
    <row r="21" ht="15.75" customHeight="1">
      <c r="A21" s="7" t="s">
        <v>21</v>
      </c>
      <c r="B21" s="9">
        <v>15.0</v>
      </c>
      <c r="C21" s="9">
        <v>7.0</v>
      </c>
      <c r="D21" s="9">
        <v>6.0</v>
      </c>
      <c r="E21" s="9">
        <v>5.0</v>
      </c>
      <c r="F21" s="9">
        <v>3.0</v>
      </c>
      <c r="G21" s="36">
        <f t="shared" si="1"/>
        <v>-0.8</v>
      </c>
    </row>
    <row r="22" ht="15.75" customHeight="1">
      <c r="A22" s="7" t="s">
        <v>9</v>
      </c>
      <c r="B22" s="9">
        <v>10.0</v>
      </c>
      <c r="C22" s="9">
        <v>10.0</v>
      </c>
      <c r="D22" s="9">
        <v>10.0</v>
      </c>
      <c r="E22" s="9">
        <v>10.0</v>
      </c>
      <c r="F22" s="9">
        <v>8.0</v>
      </c>
      <c r="G22" s="36">
        <f t="shared" si="1"/>
        <v>-0.2</v>
      </c>
    </row>
    <row r="23" ht="15.75" customHeight="1">
      <c r="A23" s="7" t="s">
        <v>45</v>
      </c>
      <c r="B23" s="9">
        <v>2.0</v>
      </c>
      <c r="C23" s="9">
        <v>2.0</v>
      </c>
      <c r="D23" s="9">
        <v>0.0</v>
      </c>
      <c r="E23" s="9">
        <v>0.0</v>
      </c>
      <c r="F23" s="9">
        <v>2.0</v>
      </c>
      <c r="G23" s="36">
        <f t="shared" si="1"/>
        <v>0</v>
      </c>
    </row>
    <row r="24" ht="15.75" customHeight="1">
      <c r="A24" s="7" t="s">
        <v>5</v>
      </c>
      <c r="B24" s="9">
        <v>20.0</v>
      </c>
      <c r="C24" s="9">
        <v>23.0</v>
      </c>
      <c r="D24" s="9">
        <v>19.0</v>
      </c>
      <c r="E24" s="9">
        <v>7.0</v>
      </c>
      <c r="F24" s="9">
        <v>7.0</v>
      </c>
      <c r="G24" s="36">
        <f t="shared" si="1"/>
        <v>-0.65</v>
      </c>
    </row>
    <row r="25" ht="15.75" customHeight="1">
      <c r="A25" s="7" t="s">
        <v>67</v>
      </c>
      <c r="B25" s="9">
        <v>2.0</v>
      </c>
      <c r="C25" s="9">
        <v>2.0</v>
      </c>
      <c r="D25" s="9">
        <v>0.0</v>
      </c>
      <c r="E25" s="9">
        <v>0.0</v>
      </c>
      <c r="F25" s="9">
        <v>1.0</v>
      </c>
      <c r="G25" s="36">
        <f t="shared" si="1"/>
        <v>-0.5</v>
      </c>
    </row>
    <row r="26" ht="15.75" customHeight="1">
      <c r="A26" s="7" t="s">
        <v>27</v>
      </c>
      <c r="B26" s="9">
        <v>0.0</v>
      </c>
      <c r="C26" s="9">
        <v>0.0</v>
      </c>
      <c r="D26" s="9">
        <v>6.0</v>
      </c>
      <c r="E26" s="9">
        <v>3.0</v>
      </c>
      <c r="F26" s="9">
        <v>2.0</v>
      </c>
      <c r="G26" s="36" t="str">
        <f t="shared" si="1"/>
        <v/>
      </c>
    </row>
    <row r="27" ht="15.75" customHeight="1">
      <c r="A27" s="7" t="s">
        <v>53</v>
      </c>
      <c r="B27" s="9">
        <v>3.0</v>
      </c>
      <c r="C27" s="9">
        <v>1.0</v>
      </c>
      <c r="D27" s="9">
        <v>3.0</v>
      </c>
      <c r="E27" s="9">
        <v>0.0</v>
      </c>
      <c r="F27" s="9">
        <v>1.0</v>
      </c>
      <c r="G27" s="36">
        <f t="shared" si="1"/>
        <v>-0.6666666667</v>
      </c>
    </row>
    <row r="28" ht="15.75" customHeight="1">
      <c r="A28" s="7" t="s">
        <v>4</v>
      </c>
      <c r="B28" s="9">
        <v>16.0</v>
      </c>
      <c r="C28" s="9">
        <v>9.0</v>
      </c>
      <c r="D28" s="9">
        <v>17.0</v>
      </c>
      <c r="E28" s="9">
        <v>14.0</v>
      </c>
      <c r="F28" s="9">
        <v>4.0</v>
      </c>
      <c r="G28" s="36">
        <f t="shared" si="1"/>
        <v>-0.75</v>
      </c>
    </row>
    <row r="29" ht="15.75" customHeight="1">
      <c r="A29" s="7" t="s">
        <v>10</v>
      </c>
      <c r="B29" s="9">
        <v>8.0</v>
      </c>
      <c r="C29" s="9">
        <v>12.0</v>
      </c>
      <c r="D29" s="9">
        <v>14.0</v>
      </c>
      <c r="E29" s="9">
        <v>2.0</v>
      </c>
      <c r="F29" s="9">
        <v>8.0</v>
      </c>
      <c r="G29" s="36">
        <f t="shared" si="1"/>
        <v>0</v>
      </c>
    </row>
    <row r="30" ht="15.75" customHeight="1">
      <c r="A30" s="7" t="s">
        <v>70</v>
      </c>
      <c r="B30" s="9">
        <v>1.0</v>
      </c>
      <c r="C30" s="9">
        <v>0.0</v>
      </c>
      <c r="D30" s="9">
        <v>0.0</v>
      </c>
      <c r="E30" s="9">
        <v>0.0</v>
      </c>
      <c r="F30" s="9">
        <v>0.0</v>
      </c>
      <c r="G30" s="36">
        <f t="shared" si="1"/>
        <v>-1</v>
      </c>
    </row>
    <row r="31" ht="15.75" customHeight="1">
      <c r="A31" s="7" t="s">
        <v>61</v>
      </c>
      <c r="B31" s="9">
        <v>2.0</v>
      </c>
      <c r="C31" s="9">
        <v>1.0</v>
      </c>
      <c r="D31" s="9">
        <v>2.0</v>
      </c>
      <c r="E31" s="9">
        <v>0.0</v>
      </c>
      <c r="F31" s="9">
        <v>0.0</v>
      </c>
      <c r="G31" s="36">
        <f t="shared" si="1"/>
        <v>-1</v>
      </c>
    </row>
    <row r="32" ht="15.75" customHeight="1">
      <c r="A32" s="7" t="s">
        <v>12</v>
      </c>
      <c r="B32" s="9">
        <v>13.0</v>
      </c>
      <c r="C32" s="9">
        <v>8.0</v>
      </c>
      <c r="D32" s="9">
        <v>13.0</v>
      </c>
      <c r="E32" s="9">
        <v>4.0</v>
      </c>
      <c r="F32" s="9">
        <v>8.0</v>
      </c>
      <c r="G32" s="36">
        <f t="shared" si="1"/>
        <v>-0.3846153846</v>
      </c>
    </row>
    <row r="33" ht="15.75" customHeight="1">
      <c r="A33" s="7" t="s">
        <v>37</v>
      </c>
      <c r="B33" s="9">
        <v>7.0</v>
      </c>
      <c r="C33" s="9">
        <v>7.0</v>
      </c>
      <c r="D33" s="9">
        <v>1.0</v>
      </c>
      <c r="E33" s="9">
        <v>2.0</v>
      </c>
      <c r="F33" s="9">
        <v>2.0</v>
      </c>
      <c r="G33" s="36">
        <f t="shared" si="1"/>
        <v>-0.7142857143</v>
      </c>
    </row>
    <row r="34" ht="15.75" customHeight="1">
      <c r="A34" s="7" t="s">
        <v>14</v>
      </c>
      <c r="B34" s="9">
        <v>14.0</v>
      </c>
      <c r="C34" s="9">
        <v>20.0</v>
      </c>
      <c r="D34" s="9">
        <v>14.0</v>
      </c>
      <c r="E34" s="9">
        <v>7.0</v>
      </c>
      <c r="F34" s="9">
        <v>8.0</v>
      </c>
      <c r="G34" s="36">
        <f t="shared" si="1"/>
        <v>-0.4285714286</v>
      </c>
    </row>
    <row r="35" ht="15.75" customHeight="1">
      <c r="A35" s="7" t="s">
        <v>54</v>
      </c>
      <c r="B35" s="9">
        <v>0.0</v>
      </c>
      <c r="C35" s="9">
        <v>2.0</v>
      </c>
      <c r="D35" s="9">
        <v>4.0</v>
      </c>
      <c r="E35" s="9">
        <v>0.0</v>
      </c>
      <c r="F35" s="9">
        <v>2.0</v>
      </c>
      <c r="G35" s="36" t="str">
        <f t="shared" si="1"/>
        <v/>
      </c>
    </row>
    <row r="36" ht="15.75" customHeight="1">
      <c r="A36" s="7" t="s">
        <v>31</v>
      </c>
      <c r="B36" s="9">
        <v>0.0</v>
      </c>
      <c r="C36" s="9">
        <v>2.0</v>
      </c>
      <c r="D36" s="9">
        <v>1.0</v>
      </c>
      <c r="E36" s="9">
        <v>3.0</v>
      </c>
      <c r="F36" s="9">
        <v>0.0</v>
      </c>
      <c r="G36" s="36" t="str">
        <f t="shared" si="1"/>
        <v/>
      </c>
    </row>
    <row r="37" ht="15.75" customHeight="1">
      <c r="A37" s="7" t="s">
        <v>66</v>
      </c>
      <c r="B37" s="9">
        <v>0.0</v>
      </c>
      <c r="C37" s="9">
        <v>1.0</v>
      </c>
      <c r="D37" s="9">
        <v>5.0</v>
      </c>
      <c r="E37" s="9">
        <v>2.0</v>
      </c>
      <c r="F37" s="9">
        <v>0.0</v>
      </c>
      <c r="G37" s="36" t="str">
        <f t="shared" si="1"/>
        <v/>
      </c>
    </row>
    <row r="38" ht="15.75" customHeight="1">
      <c r="A38" s="7" t="s">
        <v>88</v>
      </c>
      <c r="B38" s="9">
        <v>0.0</v>
      </c>
      <c r="C38" s="9">
        <v>0.0</v>
      </c>
      <c r="D38" s="9">
        <v>1.0</v>
      </c>
      <c r="E38" s="9">
        <v>2.0</v>
      </c>
      <c r="F38" s="9">
        <v>0.0</v>
      </c>
      <c r="G38" s="36" t="str">
        <f t="shared" si="1"/>
        <v/>
      </c>
    </row>
    <row r="39" ht="15.75" customHeight="1">
      <c r="A39" s="7" t="s">
        <v>29</v>
      </c>
      <c r="B39" s="9">
        <v>3.0</v>
      </c>
      <c r="C39" s="9">
        <v>1.0</v>
      </c>
      <c r="D39" s="9">
        <v>9.0</v>
      </c>
      <c r="E39" s="9">
        <v>7.0</v>
      </c>
      <c r="F39" s="9">
        <v>5.0</v>
      </c>
      <c r="G39" s="36">
        <f t="shared" si="1"/>
        <v>0.6666666667</v>
      </c>
    </row>
    <row r="40" ht="15.75" customHeight="1">
      <c r="A40" s="7" t="s">
        <v>34</v>
      </c>
      <c r="B40" s="9">
        <v>6.0</v>
      </c>
      <c r="C40" s="9">
        <v>9.0</v>
      </c>
      <c r="D40" s="9">
        <v>5.0</v>
      </c>
      <c r="E40" s="9">
        <v>5.0</v>
      </c>
      <c r="F40" s="9">
        <v>2.0</v>
      </c>
      <c r="G40" s="36">
        <f t="shared" si="1"/>
        <v>-0.6666666667</v>
      </c>
    </row>
    <row r="41" ht="15.75" customHeight="1">
      <c r="A41" s="7" t="s">
        <v>50</v>
      </c>
      <c r="B41" s="9">
        <v>3.0</v>
      </c>
      <c r="C41" s="9">
        <v>0.0</v>
      </c>
      <c r="D41" s="9">
        <v>2.0</v>
      </c>
      <c r="E41" s="9">
        <v>3.0</v>
      </c>
      <c r="F41" s="9">
        <v>2.0</v>
      </c>
      <c r="G41" s="36">
        <f t="shared" si="1"/>
        <v>-0.3333333333</v>
      </c>
    </row>
    <row r="42" ht="15.75" customHeight="1">
      <c r="A42" s="7" t="s">
        <v>89</v>
      </c>
      <c r="B42" s="9">
        <v>1.0</v>
      </c>
      <c r="C42" s="9">
        <v>0.0</v>
      </c>
      <c r="D42" s="9">
        <v>0.0</v>
      </c>
      <c r="E42" s="9">
        <v>0.0</v>
      </c>
      <c r="F42" s="9">
        <v>0.0</v>
      </c>
      <c r="G42" s="36">
        <f t="shared" si="1"/>
        <v>-1</v>
      </c>
    </row>
    <row r="43" ht="15.75" customHeight="1">
      <c r="A43" s="7" t="s">
        <v>16</v>
      </c>
      <c r="B43" s="9">
        <v>18.0</v>
      </c>
      <c r="C43" s="9">
        <v>23.0</v>
      </c>
      <c r="D43" s="9">
        <v>12.0</v>
      </c>
      <c r="E43" s="9">
        <v>10.0</v>
      </c>
      <c r="F43" s="9">
        <v>7.0</v>
      </c>
      <c r="G43" s="36">
        <f t="shared" si="1"/>
        <v>-0.6111111111</v>
      </c>
    </row>
    <row r="44" ht="15.75" customHeight="1">
      <c r="A44" s="7" t="s">
        <v>24</v>
      </c>
      <c r="B44" s="9">
        <v>4.0</v>
      </c>
      <c r="C44" s="9">
        <v>6.0</v>
      </c>
      <c r="D44" s="9">
        <v>3.0</v>
      </c>
      <c r="E44" s="9">
        <v>4.0</v>
      </c>
      <c r="F44" s="9">
        <v>8.0</v>
      </c>
      <c r="G44" s="36">
        <f t="shared" si="1"/>
        <v>1</v>
      </c>
    </row>
    <row r="45" ht="15.75" customHeight="1">
      <c r="A45" s="7" t="s">
        <v>11</v>
      </c>
      <c r="B45" s="9">
        <v>17.0</v>
      </c>
      <c r="C45" s="9">
        <v>11.0</v>
      </c>
      <c r="D45" s="9">
        <v>19.0</v>
      </c>
      <c r="E45" s="9">
        <v>15.0</v>
      </c>
      <c r="F45" s="9">
        <v>15.0</v>
      </c>
      <c r="G45" s="36">
        <f t="shared" si="1"/>
        <v>-0.1176470588</v>
      </c>
    </row>
    <row r="46" ht="15.75" customHeight="1">
      <c r="A46" s="7" t="s">
        <v>73</v>
      </c>
      <c r="B46" s="9">
        <v>0.0</v>
      </c>
      <c r="C46" s="9">
        <v>0.0</v>
      </c>
      <c r="D46" s="9">
        <v>4.0</v>
      </c>
      <c r="E46" s="9">
        <v>0.0</v>
      </c>
      <c r="F46" s="9">
        <v>0.0</v>
      </c>
      <c r="G46" s="36" t="str">
        <f t="shared" si="1"/>
        <v/>
      </c>
    </row>
    <row r="47" ht="15.75" customHeight="1">
      <c r="A47" s="7" t="s">
        <v>43</v>
      </c>
      <c r="B47" s="9">
        <v>2.0</v>
      </c>
      <c r="C47" s="9">
        <v>3.0</v>
      </c>
      <c r="D47" s="9">
        <v>3.0</v>
      </c>
      <c r="E47" s="9">
        <v>0.0</v>
      </c>
      <c r="F47" s="9">
        <v>1.0</v>
      </c>
      <c r="G47" s="36">
        <f t="shared" si="1"/>
        <v>-0.5</v>
      </c>
    </row>
    <row r="48" ht="15.75" customHeight="1">
      <c r="A48" s="7" t="s">
        <v>81</v>
      </c>
      <c r="B48" s="9">
        <v>0.0</v>
      </c>
      <c r="C48" s="9">
        <v>0.0</v>
      </c>
      <c r="D48" s="9">
        <v>1.0</v>
      </c>
      <c r="E48" s="9">
        <v>0.0</v>
      </c>
      <c r="F48" s="9">
        <v>2.0</v>
      </c>
      <c r="G48" s="36" t="str">
        <f t="shared" si="1"/>
        <v/>
      </c>
    </row>
    <row r="49" ht="15.75" customHeight="1">
      <c r="A49" s="7" t="s">
        <v>95</v>
      </c>
      <c r="B49" s="9">
        <v>0.0</v>
      </c>
      <c r="C49" s="9">
        <v>0.0</v>
      </c>
      <c r="D49" s="9">
        <v>2.0</v>
      </c>
      <c r="E49" s="9">
        <v>0.0</v>
      </c>
      <c r="F49" s="9">
        <v>0.0</v>
      </c>
      <c r="G49" s="36" t="str">
        <f t="shared" si="1"/>
        <v/>
      </c>
    </row>
    <row r="50" ht="15.75" customHeight="1">
      <c r="A50" s="7" t="s">
        <v>6</v>
      </c>
      <c r="B50" s="9">
        <v>21.0</v>
      </c>
      <c r="C50" s="9">
        <v>13.0</v>
      </c>
      <c r="D50" s="9">
        <v>17.0</v>
      </c>
      <c r="E50" s="9">
        <v>20.0</v>
      </c>
      <c r="F50" s="9">
        <v>12.0</v>
      </c>
      <c r="G50" s="36">
        <f t="shared" si="1"/>
        <v>-0.4285714286</v>
      </c>
    </row>
    <row r="51" ht="15.75" customHeight="1">
      <c r="A51" s="7" t="s">
        <v>35</v>
      </c>
      <c r="B51" s="9">
        <v>5.0</v>
      </c>
      <c r="C51" s="9">
        <v>5.0</v>
      </c>
      <c r="D51" s="9">
        <v>6.0</v>
      </c>
      <c r="E51" s="9">
        <v>3.0</v>
      </c>
      <c r="F51" s="9">
        <v>4.0</v>
      </c>
      <c r="G51" s="36">
        <f t="shared" si="1"/>
        <v>-0.2</v>
      </c>
    </row>
    <row r="52" ht="15.75" customHeight="1">
      <c r="A52" s="7" t="s">
        <v>32</v>
      </c>
      <c r="B52" s="9">
        <v>11.0</v>
      </c>
      <c r="C52" s="9">
        <v>6.0</v>
      </c>
      <c r="D52" s="9">
        <v>4.0</v>
      </c>
      <c r="E52" s="9">
        <v>8.0</v>
      </c>
      <c r="F52" s="9">
        <v>6.0</v>
      </c>
      <c r="G52" s="36">
        <f t="shared" si="1"/>
        <v>-0.4545454545</v>
      </c>
    </row>
    <row r="53" ht="15.75" customHeight="1">
      <c r="A53" s="7" t="s">
        <v>39</v>
      </c>
      <c r="B53" s="9">
        <v>2.0</v>
      </c>
      <c r="C53" s="9">
        <v>6.0</v>
      </c>
      <c r="D53" s="9">
        <v>11.0</v>
      </c>
      <c r="E53" s="9">
        <v>4.0</v>
      </c>
      <c r="F53" s="9">
        <v>1.0</v>
      </c>
      <c r="G53" s="36">
        <f t="shared" si="1"/>
        <v>-0.5</v>
      </c>
    </row>
    <row r="54" ht="15.75" customHeight="1">
      <c r="A54" s="7" t="s">
        <v>101</v>
      </c>
      <c r="B54" s="9">
        <v>0.0</v>
      </c>
      <c r="C54" s="9">
        <v>0.0</v>
      </c>
      <c r="D54" s="9">
        <v>1.0</v>
      </c>
      <c r="E54" s="9">
        <v>0.0</v>
      </c>
      <c r="F54" s="9">
        <v>0.0</v>
      </c>
      <c r="G54" s="36" t="str">
        <f t="shared" si="1"/>
        <v/>
      </c>
    </row>
    <row r="55" ht="15.75" customHeight="1">
      <c r="A55" s="7" t="s">
        <v>64</v>
      </c>
      <c r="B55" s="9">
        <v>2.0</v>
      </c>
      <c r="C55" s="9">
        <v>2.0</v>
      </c>
      <c r="D55" s="9">
        <v>0.0</v>
      </c>
      <c r="E55" s="9">
        <v>2.0</v>
      </c>
      <c r="F55" s="9">
        <v>0.0</v>
      </c>
      <c r="G55" s="36">
        <f t="shared" si="1"/>
        <v>-1</v>
      </c>
    </row>
    <row r="56" ht="15.75" customHeight="1">
      <c r="A56" s="7" t="s">
        <v>26</v>
      </c>
      <c r="B56" s="9">
        <v>7.0</v>
      </c>
      <c r="C56" s="9">
        <v>17.0</v>
      </c>
      <c r="D56" s="9">
        <v>4.0</v>
      </c>
      <c r="E56" s="9">
        <v>2.0</v>
      </c>
      <c r="F56" s="9">
        <v>1.0</v>
      </c>
      <c r="G56" s="36">
        <f t="shared" si="1"/>
        <v>-0.8571428571</v>
      </c>
    </row>
    <row r="57" ht="15.75" customHeight="1">
      <c r="G57" s="44"/>
    </row>
    <row r="58" ht="15.75" customHeight="1">
      <c r="G58" s="44"/>
    </row>
    <row r="59" ht="15.75" customHeight="1">
      <c r="G59" s="44"/>
    </row>
    <row r="60" ht="15.75" customHeight="1">
      <c r="G60" s="44"/>
    </row>
    <row r="61" ht="15.75" customHeight="1">
      <c r="G61" s="44"/>
    </row>
    <row r="62" ht="15.75" customHeight="1">
      <c r="G62" s="44"/>
    </row>
    <row r="63" ht="15.75" customHeight="1">
      <c r="G63" s="44"/>
    </row>
    <row r="64" ht="15.75" customHeight="1">
      <c r="G64" s="44"/>
    </row>
    <row r="65" ht="15.75" customHeight="1">
      <c r="G65" s="44"/>
    </row>
    <row r="66" ht="15.75" customHeight="1">
      <c r="G66" s="44"/>
    </row>
    <row r="67" ht="15.75" customHeight="1">
      <c r="G67" s="44"/>
    </row>
    <row r="68" ht="15.75" customHeight="1">
      <c r="G68" s="44"/>
    </row>
    <row r="69" ht="15.75" customHeight="1">
      <c r="G69" s="44"/>
    </row>
    <row r="70" ht="15.75" customHeight="1">
      <c r="G70" s="44"/>
    </row>
    <row r="71" ht="15.75" customHeight="1">
      <c r="G71" s="44"/>
    </row>
    <row r="72" ht="15.75" customHeight="1">
      <c r="G72" s="44"/>
    </row>
    <row r="73" ht="15.75" customHeight="1">
      <c r="G73" s="44"/>
    </row>
    <row r="74" ht="15.75" customHeight="1">
      <c r="G74" s="44"/>
    </row>
    <row r="75" ht="15.75" customHeight="1">
      <c r="G75" s="44"/>
    </row>
    <row r="76" ht="15.75" customHeight="1">
      <c r="G76" s="44"/>
    </row>
    <row r="77" ht="15.75" customHeight="1">
      <c r="G77" s="44"/>
    </row>
    <row r="78" ht="15.75" customHeight="1">
      <c r="G78" s="44"/>
    </row>
    <row r="79" ht="15.75" customHeight="1">
      <c r="G79" s="44"/>
    </row>
    <row r="80" ht="15.75" customHeight="1">
      <c r="G80" s="44"/>
    </row>
    <row r="81" ht="15.75" customHeight="1">
      <c r="G81" s="44"/>
    </row>
    <row r="82" ht="15.75" customHeight="1">
      <c r="G82" s="44"/>
    </row>
    <row r="83" ht="15.75" customHeight="1">
      <c r="G83" s="44"/>
    </row>
    <row r="84" ht="15.75" customHeight="1">
      <c r="G84" s="44"/>
    </row>
    <row r="85" ht="15.75" customHeight="1">
      <c r="G85" s="44"/>
    </row>
    <row r="86" ht="15.75" customHeight="1">
      <c r="G86" s="44"/>
    </row>
    <row r="87" ht="15.75" customHeight="1">
      <c r="G87" s="44"/>
    </row>
    <row r="88" ht="15.75" customHeight="1">
      <c r="G88" s="44"/>
    </row>
    <row r="89" ht="15.75" customHeight="1">
      <c r="G89" s="44"/>
    </row>
    <row r="90" ht="15.75" customHeight="1">
      <c r="G90" s="44"/>
    </row>
    <row r="91" ht="15.75" customHeight="1">
      <c r="G91" s="44"/>
    </row>
    <row r="92" ht="15.75" customHeight="1">
      <c r="G92" s="44"/>
    </row>
    <row r="93" ht="15.75" customHeight="1">
      <c r="G93" s="44"/>
    </row>
    <row r="94" ht="15.75" customHeight="1">
      <c r="G94" s="44"/>
    </row>
    <row r="95" ht="15.75" customHeight="1">
      <c r="G95" s="44"/>
    </row>
    <row r="96" ht="15.75" customHeight="1">
      <c r="G96" s="44"/>
    </row>
    <row r="97" ht="15.75" customHeight="1">
      <c r="G97" s="44"/>
    </row>
    <row r="98" ht="15.75" customHeight="1">
      <c r="G98" s="44"/>
    </row>
    <row r="99" ht="15.75" customHeight="1">
      <c r="G99" s="44"/>
    </row>
    <row r="100" ht="15.75" customHeight="1">
      <c r="G100" s="44"/>
    </row>
    <row r="101" ht="15.75" customHeight="1">
      <c r="G101" s="44"/>
    </row>
    <row r="102" ht="15.75" customHeight="1">
      <c r="G102" s="44"/>
    </row>
    <row r="103" ht="15.75" customHeight="1">
      <c r="G103" s="44"/>
    </row>
    <row r="104" ht="15.75" customHeight="1">
      <c r="G104" s="44"/>
    </row>
    <row r="105" ht="15.75" customHeight="1">
      <c r="G105" s="44"/>
    </row>
    <row r="106" ht="15.75" customHeight="1">
      <c r="G106" s="44"/>
    </row>
    <row r="107" ht="15.75" customHeight="1">
      <c r="G107" s="44"/>
    </row>
    <row r="108" ht="15.75" customHeight="1">
      <c r="G108" s="44"/>
    </row>
    <row r="109" ht="15.75" customHeight="1">
      <c r="G109" s="44"/>
    </row>
    <row r="110" ht="15.75" customHeight="1">
      <c r="G110" s="44"/>
    </row>
    <row r="111" ht="15.75" customHeight="1">
      <c r="G111" s="44"/>
    </row>
    <row r="112" ht="15.75" customHeight="1">
      <c r="G112" s="44"/>
    </row>
    <row r="113" ht="15.75" customHeight="1">
      <c r="G113" s="44"/>
    </row>
    <row r="114" ht="15.75" customHeight="1">
      <c r="G114" s="44"/>
    </row>
    <row r="115" ht="15.75" customHeight="1">
      <c r="G115" s="44"/>
    </row>
    <row r="116" ht="15.75" customHeight="1">
      <c r="G116" s="44"/>
    </row>
    <row r="117" ht="15.75" customHeight="1">
      <c r="G117" s="44"/>
    </row>
    <row r="118" ht="15.75" customHeight="1">
      <c r="G118" s="44"/>
    </row>
    <row r="119" ht="15.75" customHeight="1">
      <c r="G119" s="44"/>
    </row>
    <row r="120" ht="15.75" customHeight="1">
      <c r="G120" s="44"/>
    </row>
    <row r="121" ht="15.75" customHeight="1">
      <c r="G121" s="44"/>
    </row>
    <row r="122" ht="15.75" customHeight="1">
      <c r="G122" s="44"/>
    </row>
    <row r="123" ht="15.75" customHeight="1">
      <c r="G123" s="44"/>
    </row>
    <row r="124" ht="15.75" customHeight="1">
      <c r="G124" s="44"/>
    </row>
    <row r="125" ht="15.75" customHeight="1">
      <c r="G125" s="44"/>
    </row>
    <row r="126" ht="15.75" customHeight="1">
      <c r="G126" s="44"/>
    </row>
    <row r="127" ht="15.75" customHeight="1">
      <c r="G127" s="44"/>
    </row>
    <row r="128" ht="15.75" customHeight="1">
      <c r="G128" s="44"/>
    </row>
    <row r="129" ht="15.75" customHeight="1">
      <c r="G129" s="44"/>
    </row>
    <row r="130" ht="15.75" customHeight="1">
      <c r="G130" s="44"/>
    </row>
    <row r="131" ht="15.75" customHeight="1">
      <c r="G131" s="44"/>
    </row>
    <row r="132" ht="15.75" customHeight="1">
      <c r="G132" s="44"/>
    </row>
    <row r="133" ht="15.75" customHeight="1">
      <c r="G133" s="44"/>
    </row>
    <row r="134" ht="15.75" customHeight="1">
      <c r="G134" s="44"/>
    </row>
    <row r="135" ht="15.75" customHeight="1">
      <c r="G135" s="44"/>
    </row>
    <row r="136" ht="15.75" customHeight="1">
      <c r="G136" s="44"/>
    </row>
    <row r="137" ht="15.75" customHeight="1">
      <c r="G137" s="44"/>
    </row>
    <row r="138" ht="15.75" customHeight="1">
      <c r="G138" s="44"/>
    </row>
    <row r="139" ht="15.75" customHeight="1">
      <c r="G139" s="44"/>
    </row>
    <row r="140" ht="15.75" customHeight="1">
      <c r="G140" s="44"/>
    </row>
    <row r="141" ht="15.75" customHeight="1">
      <c r="G141" s="44"/>
    </row>
    <row r="142" ht="15.75" customHeight="1">
      <c r="G142" s="44"/>
    </row>
    <row r="143" ht="15.75" customHeight="1">
      <c r="G143" s="44"/>
    </row>
    <row r="144" ht="15.75" customHeight="1">
      <c r="G144" s="44"/>
    </row>
    <row r="145" ht="15.75" customHeight="1">
      <c r="G145" s="44"/>
    </row>
    <row r="146" ht="15.75" customHeight="1">
      <c r="G146" s="44"/>
    </row>
    <row r="147" ht="15.75" customHeight="1">
      <c r="G147" s="44"/>
    </row>
    <row r="148" ht="15.75" customHeight="1">
      <c r="G148" s="44"/>
    </row>
    <row r="149" ht="15.75" customHeight="1">
      <c r="G149" s="44"/>
    </row>
    <row r="150" ht="15.75" customHeight="1">
      <c r="G150" s="44"/>
    </row>
    <row r="151" ht="15.75" customHeight="1">
      <c r="G151" s="44"/>
    </row>
    <row r="152" ht="15.75" customHeight="1">
      <c r="G152" s="44"/>
    </row>
    <row r="153" ht="15.75" customHeight="1">
      <c r="G153" s="44"/>
    </row>
    <row r="154" ht="15.75" customHeight="1">
      <c r="G154" s="44"/>
    </row>
    <row r="155" ht="15.75" customHeight="1">
      <c r="G155" s="44"/>
    </row>
    <row r="156" ht="15.75" customHeight="1">
      <c r="G156" s="44"/>
    </row>
    <row r="157" ht="15.75" customHeight="1">
      <c r="G157" s="44"/>
    </row>
    <row r="158" ht="15.75" customHeight="1">
      <c r="G158" s="44"/>
    </row>
    <row r="159" ht="15.75" customHeight="1">
      <c r="G159" s="44"/>
    </row>
    <row r="160" ht="15.75" customHeight="1">
      <c r="G160" s="44"/>
    </row>
    <row r="161" ht="15.75" customHeight="1">
      <c r="G161" s="44"/>
    </row>
    <row r="162" ht="15.75" customHeight="1">
      <c r="G162" s="44"/>
    </row>
    <row r="163" ht="15.75" customHeight="1">
      <c r="G163" s="44"/>
    </row>
    <row r="164" ht="15.75" customHeight="1">
      <c r="G164" s="44"/>
    </row>
    <row r="165" ht="15.75" customHeight="1">
      <c r="G165" s="44"/>
    </row>
    <row r="166" ht="15.75" customHeight="1">
      <c r="G166" s="44"/>
    </row>
    <row r="167" ht="15.75" customHeight="1">
      <c r="G167" s="44"/>
    </row>
    <row r="168" ht="15.75" customHeight="1">
      <c r="G168" s="44"/>
    </row>
    <row r="169" ht="15.75" customHeight="1">
      <c r="G169" s="44"/>
    </row>
    <row r="170" ht="15.75" customHeight="1">
      <c r="G170" s="44"/>
    </row>
    <row r="171" ht="15.75" customHeight="1">
      <c r="G171" s="44"/>
    </row>
    <row r="172" ht="15.75" customHeight="1">
      <c r="G172" s="44"/>
    </row>
    <row r="173" ht="15.75" customHeight="1">
      <c r="G173" s="44"/>
    </row>
    <row r="174" ht="15.75" customHeight="1">
      <c r="G174" s="44"/>
    </row>
    <row r="175" ht="15.75" customHeight="1">
      <c r="G175" s="44"/>
    </row>
    <row r="176" ht="15.75" customHeight="1">
      <c r="G176" s="44"/>
    </row>
    <row r="177" ht="15.75" customHeight="1">
      <c r="G177" s="44"/>
    </row>
    <row r="178" ht="15.75" customHeight="1">
      <c r="G178" s="44"/>
    </row>
    <row r="179" ht="15.75" customHeight="1">
      <c r="G179" s="44"/>
    </row>
    <row r="180" ht="15.75" customHeight="1">
      <c r="G180" s="44"/>
    </row>
    <row r="181" ht="15.75" customHeight="1">
      <c r="G181" s="44"/>
    </row>
    <row r="182" ht="15.75" customHeight="1">
      <c r="G182" s="44"/>
    </row>
    <row r="183" ht="15.75" customHeight="1">
      <c r="G183" s="44"/>
    </row>
    <row r="184" ht="15.75" customHeight="1">
      <c r="G184" s="44"/>
    </row>
    <row r="185" ht="15.75" customHeight="1">
      <c r="G185" s="44"/>
    </row>
    <row r="186" ht="15.75" customHeight="1">
      <c r="G186" s="44"/>
    </row>
    <row r="187" ht="15.75" customHeight="1">
      <c r="G187" s="44"/>
    </row>
    <row r="188" ht="15.75" customHeight="1">
      <c r="G188" s="44"/>
    </row>
    <row r="189" ht="15.75" customHeight="1">
      <c r="G189" s="44"/>
    </row>
    <row r="190" ht="15.75" customHeight="1">
      <c r="G190" s="44"/>
    </row>
    <row r="191" ht="15.75" customHeight="1">
      <c r="G191" s="44"/>
    </row>
    <row r="192" ht="15.75" customHeight="1">
      <c r="G192" s="44"/>
    </row>
    <row r="193" ht="15.75" customHeight="1">
      <c r="G193" s="44"/>
    </row>
    <row r="194" ht="15.75" customHeight="1">
      <c r="G194" s="44"/>
    </row>
    <row r="195" ht="15.75" customHeight="1">
      <c r="G195" s="44"/>
    </row>
    <row r="196" ht="15.75" customHeight="1">
      <c r="G196" s="44"/>
    </row>
    <row r="197" ht="15.75" customHeight="1">
      <c r="G197" s="44"/>
    </row>
    <row r="198" ht="15.75" customHeight="1">
      <c r="G198" s="44"/>
    </row>
    <row r="199" ht="15.75" customHeight="1">
      <c r="G199" s="44"/>
    </row>
    <row r="200" ht="15.75" customHeight="1">
      <c r="G200" s="44"/>
    </row>
    <row r="201" ht="15.75" customHeight="1">
      <c r="G201" s="44"/>
    </row>
    <row r="202" ht="15.75" customHeight="1">
      <c r="G202" s="44"/>
    </row>
    <row r="203" ht="15.75" customHeight="1">
      <c r="G203" s="44"/>
    </row>
    <row r="204" ht="15.75" customHeight="1">
      <c r="G204" s="44"/>
    </row>
    <row r="205" ht="15.75" customHeight="1">
      <c r="G205" s="44"/>
    </row>
    <row r="206" ht="15.75" customHeight="1">
      <c r="G206" s="44"/>
    </row>
    <row r="207" ht="15.75" customHeight="1">
      <c r="G207" s="44"/>
    </row>
    <row r="208" ht="15.75" customHeight="1">
      <c r="G208" s="44"/>
    </row>
    <row r="209" ht="15.75" customHeight="1">
      <c r="G209" s="44"/>
    </row>
    <row r="210" ht="15.75" customHeight="1">
      <c r="G210" s="44"/>
    </row>
    <row r="211" ht="15.75" customHeight="1">
      <c r="G211" s="44"/>
    </row>
    <row r="212" ht="15.75" customHeight="1">
      <c r="G212" s="44"/>
    </row>
    <row r="213" ht="15.75" customHeight="1">
      <c r="G213" s="44"/>
    </row>
    <row r="214" ht="15.75" customHeight="1">
      <c r="G214" s="44"/>
    </row>
    <row r="215" ht="15.75" customHeight="1">
      <c r="G215" s="44"/>
    </row>
    <row r="216" ht="15.75" customHeight="1">
      <c r="G216" s="44"/>
    </row>
    <row r="217" ht="15.75" customHeight="1">
      <c r="G217" s="44"/>
    </row>
    <row r="218" ht="15.75" customHeight="1">
      <c r="G218" s="44"/>
    </row>
    <row r="219" ht="15.75" customHeight="1">
      <c r="G219" s="44"/>
    </row>
    <row r="220" ht="15.75" customHeight="1">
      <c r="G220" s="44"/>
    </row>
    <row r="221" ht="15.75" customHeight="1">
      <c r="G221" s="44"/>
    </row>
    <row r="222" ht="15.75" customHeight="1">
      <c r="G222" s="44"/>
    </row>
    <row r="223" ht="15.75" customHeight="1">
      <c r="G223" s="44"/>
    </row>
    <row r="224" ht="15.75" customHeight="1">
      <c r="G224" s="44"/>
    </row>
    <row r="225" ht="15.75" customHeight="1">
      <c r="G225" s="44"/>
    </row>
    <row r="226" ht="15.75" customHeight="1">
      <c r="G226" s="44"/>
    </row>
    <row r="227" ht="15.75" customHeight="1">
      <c r="G227" s="44"/>
    </row>
    <row r="228" ht="15.75" customHeight="1">
      <c r="G228" s="44"/>
    </row>
    <row r="229" ht="15.75" customHeight="1">
      <c r="G229" s="44"/>
    </row>
    <row r="230" ht="15.75" customHeight="1">
      <c r="G230" s="44"/>
    </row>
    <row r="231" ht="15.75" customHeight="1">
      <c r="G231" s="44"/>
    </row>
    <row r="232" ht="15.75" customHeight="1">
      <c r="G232" s="44"/>
    </row>
    <row r="233" ht="15.75" customHeight="1">
      <c r="G233" s="44"/>
    </row>
    <row r="234" ht="15.75" customHeight="1">
      <c r="G234" s="44"/>
    </row>
    <row r="235" ht="15.75" customHeight="1">
      <c r="G235" s="44"/>
    </row>
    <row r="236" ht="15.75" customHeight="1">
      <c r="G236" s="44"/>
    </row>
    <row r="237" ht="15.75" customHeight="1">
      <c r="G237" s="44"/>
    </row>
    <row r="238" ht="15.75" customHeight="1">
      <c r="G238" s="44"/>
    </row>
    <row r="239" ht="15.75" customHeight="1">
      <c r="G239" s="44"/>
    </row>
    <row r="240" ht="15.75" customHeight="1">
      <c r="G240" s="44"/>
    </row>
    <row r="241" ht="15.75" customHeight="1">
      <c r="G241" s="44"/>
    </row>
    <row r="242" ht="15.75" customHeight="1">
      <c r="G242" s="44"/>
    </row>
    <row r="243" ht="15.75" customHeight="1">
      <c r="G243" s="44"/>
    </row>
    <row r="244" ht="15.75" customHeight="1">
      <c r="G244" s="44"/>
    </row>
    <row r="245" ht="15.75" customHeight="1">
      <c r="G245" s="44"/>
    </row>
    <row r="246" ht="15.75" customHeight="1">
      <c r="G246" s="44"/>
    </row>
    <row r="247" ht="15.75" customHeight="1">
      <c r="G247" s="44"/>
    </row>
    <row r="248" ht="15.75" customHeight="1">
      <c r="G248" s="44"/>
    </row>
    <row r="249" ht="15.75" customHeight="1">
      <c r="G249" s="44"/>
    </row>
    <row r="250" ht="15.75" customHeight="1">
      <c r="G250" s="44"/>
    </row>
    <row r="251" ht="15.75" customHeight="1">
      <c r="G251" s="44"/>
    </row>
    <row r="252" ht="15.75" customHeight="1">
      <c r="G252" s="44"/>
    </row>
    <row r="253" ht="15.75" customHeight="1">
      <c r="G253" s="44"/>
    </row>
    <row r="254" ht="15.75" customHeight="1">
      <c r="G254" s="44"/>
    </row>
    <row r="255" ht="15.75" customHeight="1">
      <c r="G255" s="44"/>
    </row>
    <row r="256" ht="15.75" customHeight="1">
      <c r="G256" s="44"/>
    </row>
    <row r="257" ht="15.75" customHeight="1">
      <c r="G257" s="44"/>
    </row>
    <row r="258" ht="15.75" customHeight="1">
      <c r="G258" s="44"/>
    </row>
    <row r="259" ht="15.75" customHeight="1">
      <c r="G259" s="44"/>
    </row>
    <row r="260" ht="15.75" customHeight="1">
      <c r="G260" s="44"/>
    </row>
    <row r="261" ht="15.75" customHeight="1">
      <c r="G261" s="44"/>
    </row>
    <row r="262" ht="15.75" customHeight="1">
      <c r="G262" s="44"/>
    </row>
    <row r="263" ht="15.75" customHeight="1">
      <c r="G263" s="44"/>
    </row>
    <row r="264" ht="15.75" customHeight="1">
      <c r="G264" s="44"/>
    </row>
    <row r="265" ht="15.75" customHeight="1">
      <c r="G265" s="44"/>
    </row>
    <row r="266" ht="15.75" customHeight="1">
      <c r="G266" s="44"/>
    </row>
    <row r="267" ht="15.75" customHeight="1">
      <c r="G267" s="44"/>
    </row>
    <row r="268" ht="15.75" customHeight="1">
      <c r="G268" s="44"/>
    </row>
    <row r="269" ht="15.75" customHeight="1">
      <c r="G269" s="44"/>
    </row>
    <row r="270" ht="15.75" customHeight="1">
      <c r="G270" s="44"/>
    </row>
    <row r="271" ht="15.75" customHeight="1">
      <c r="G271" s="44"/>
    </row>
    <row r="272" ht="15.75" customHeight="1">
      <c r="G272" s="44"/>
    </row>
    <row r="273" ht="15.75" customHeight="1">
      <c r="G273" s="44"/>
    </row>
    <row r="274" ht="15.75" customHeight="1">
      <c r="G274" s="44"/>
    </row>
    <row r="275" ht="15.75" customHeight="1">
      <c r="G275" s="44"/>
    </row>
    <row r="276" ht="15.75" customHeight="1">
      <c r="G276" s="44"/>
    </row>
    <row r="277" ht="15.75" customHeight="1">
      <c r="G277" s="44"/>
    </row>
    <row r="278" ht="15.75" customHeight="1">
      <c r="G278" s="44"/>
    </row>
    <row r="279" ht="15.75" customHeight="1">
      <c r="G279" s="44"/>
    </row>
    <row r="280" ht="15.75" customHeight="1">
      <c r="G280" s="44"/>
    </row>
    <row r="281" ht="15.75" customHeight="1">
      <c r="G281" s="44"/>
    </row>
    <row r="282" ht="15.75" customHeight="1">
      <c r="G282" s="44"/>
    </row>
    <row r="283" ht="15.75" customHeight="1">
      <c r="G283" s="44"/>
    </row>
    <row r="284" ht="15.75" customHeight="1">
      <c r="G284" s="44"/>
    </row>
    <row r="285" ht="15.75" customHeight="1">
      <c r="G285" s="44"/>
    </row>
    <row r="286" ht="15.75" customHeight="1">
      <c r="G286" s="44"/>
    </row>
    <row r="287" ht="15.75" customHeight="1">
      <c r="G287" s="44"/>
    </row>
    <row r="288" ht="15.75" customHeight="1">
      <c r="G288" s="44"/>
    </row>
    <row r="289" ht="15.75" customHeight="1">
      <c r="G289" s="44"/>
    </row>
    <row r="290" ht="15.75" customHeight="1">
      <c r="G290" s="44"/>
    </row>
    <row r="291" ht="15.75" customHeight="1">
      <c r="G291" s="44"/>
    </row>
    <row r="292" ht="15.75" customHeight="1">
      <c r="G292" s="44"/>
    </row>
    <row r="293" ht="15.75" customHeight="1">
      <c r="G293" s="44"/>
    </row>
    <row r="294" ht="15.75" customHeight="1">
      <c r="G294" s="44"/>
    </row>
    <row r="295" ht="15.75" customHeight="1">
      <c r="G295" s="44"/>
    </row>
    <row r="296" ht="15.75" customHeight="1">
      <c r="G296" s="44"/>
    </row>
    <row r="297" ht="15.75" customHeight="1">
      <c r="G297" s="44"/>
    </row>
    <row r="298" ht="15.75" customHeight="1">
      <c r="G298" s="44"/>
    </row>
    <row r="299" ht="15.75" customHeight="1">
      <c r="G299" s="44"/>
    </row>
    <row r="300" ht="15.75" customHeight="1">
      <c r="G300" s="44"/>
    </row>
    <row r="301" ht="15.75" customHeight="1">
      <c r="G301" s="44"/>
    </row>
    <row r="302" ht="15.75" customHeight="1">
      <c r="G302" s="44"/>
    </row>
    <row r="303" ht="15.75" customHeight="1">
      <c r="G303" s="44"/>
    </row>
    <row r="304" ht="15.75" customHeight="1">
      <c r="G304" s="44"/>
    </row>
    <row r="305" ht="15.75" customHeight="1">
      <c r="G305" s="44"/>
    </row>
    <row r="306" ht="15.75" customHeight="1">
      <c r="G306" s="44"/>
    </row>
    <row r="307" ht="15.75" customHeight="1">
      <c r="G307" s="44"/>
    </row>
    <row r="308" ht="15.75" customHeight="1">
      <c r="G308" s="44"/>
    </row>
    <row r="309" ht="15.75" customHeight="1">
      <c r="G309" s="44"/>
    </row>
    <row r="310" ht="15.75" customHeight="1">
      <c r="G310" s="44"/>
    </row>
    <row r="311" ht="15.75" customHeight="1">
      <c r="G311" s="44"/>
    </row>
    <row r="312" ht="15.75" customHeight="1">
      <c r="G312" s="44"/>
    </row>
    <row r="313" ht="15.75" customHeight="1">
      <c r="G313" s="44"/>
    </row>
    <row r="314" ht="15.75" customHeight="1">
      <c r="G314" s="44"/>
    </row>
    <row r="315" ht="15.75" customHeight="1">
      <c r="G315" s="44"/>
    </row>
    <row r="316" ht="15.75" customHeight="1">
      <c r="G316" s="44"/>
    </row>
    <row r="317" ht="15.75" customHeight="1">
      <c r="G317" s="44"/>
    </row>
    <row r="318" ht="15.75" customHeight="1">
      <c r="G318" s="44"/>
    </row>
    <row r="319" ht="15.75" customHeight="1">
      <c r="G319" s="44"/>
    </row>
    <row r="320" ht="15.75" customHeight="1">
      <c r="G320" s="44"/>
    </row>
    <row r="321" ht="15.75" customHeight="1">
      <c r="G321" s="44"/>
    </row>
    <row r="322" ht="15.75" customHeight="1">
      <c r="G322" s="44"/>
    </row>
    <row r="323" ht="15.75" customHeight="1">
      <c r="G323" s="44"/>
    </row>
    <row r="324" ht="15.75" customHeight="1">
      <c r="G324" s="44"/>
    </row>
    <row r="325" ht="15.75" customHeight="1">
      <c r="G325" s="44"/>
    </row>
    <row r="326" ht="15.75" customHeight="1">
      <c r="G326" s="44"/>
    </row>
    <row r="327" ht="15.75" customHeight="1">
      <c r="G327" s="44"/>
    </row>
    <row r="328" ht="15.75" customHeight="1">
      <c r="G328" s="44"/>
    </row>
    <row r="329" ht="15.75" customHeight="1">
      <c r="G329" s="44"/>
    </row>
    <row r="330" ht="15.75" customHeight="1">
      <c r="G330" s="44"/>
    </row>
    <row r="331" ht="15.75" customHeight="1">
      <c r="G331" s="44"/>
    </row>
    <row r="332" ht="15.75" customHeight="1">
      <c r="G332" s="44"/>
    </row>
    <row r="333" ht="15.75" customHeight="1">
      <c r="G333" s="44"/>
    </row>
    <row r="334" ht="15.75" customHeight="1">
      <c r="G334" s="44"/>
    </row>
    <row r="335" ht="15.75" customHeight="1">
      <c r="G335" s="44"/>
    </row>
    <row r="336" ht="15.75" customHeight="1">
      <c r="G336" s="44"/>
    </row>
    <row r="337" ht="15.75" customHeight="1">
      <c r="G337" s="44"/>
    </row>
    <row r="338" ht="15.75" customHeight="1">
      <c r="G338" s="44"/>
    </row>
    <row r="339" ht="15.75" customHeight="1">
      <c r="G339" s="44"/>
    </row>
    <row r="340" ht="15.75" customHeight="1">
      <c r="G340" s="44"/>
    </row>
    <row r="341" ht="15.75" customHeight="1">
      <c r="G341" s="44"/>
    </row>
    <row r="342" ht="15.75" customHeight="1">
      <c r="G342" s="44"/>
    </row>
    <row r="343" ht="15.75" customHeight="1">
      <c r="G343" s="44"/>
    </row>
    <row r="344" ht="15.75" customHeight="1">
      <c r="G344" s="44"/>
    </row>
    <row r="345" ht="15.75" customHeight="1">
      <c r="G345" s="44"/>
    </row>
    <row r="346" ht="15.75" customHeight="1">
      <c r="G346" s="44"/>
    </row>
    <row r="347" ht="15.75" customHeight="1">
      <c r="G347" s="44"/>
    </row>
    <row r="348" ht="15.75" customHeight="1">
      <c r="G348" s="44"/>
    </row>
    <row r="349" ht="15.75" customHeight="1">
      <c r="G349" s="44"/>
    </row>
    <row r="350" ht="15.75" customHeight="1">
      <c r="G350" s="44"/>
    </row>
    <row r="351" ht="15.75" customHeight="1">
      <c r="G351" s="44"/>
    </row>
    <row r="352" ht="15.75" customHeight="1">
      <c r="G352" s="44"/>
    </row>
    <row r="353" ht="15.75" customHeight="1">
      <c r="G353" s="44"/>
    </row>
    <row r="354" ht="15.75" customHeight="1">
      <c r="G354" s="44"/>
    </row>
    <row r="355" ht="15.75" customHeight="1">
      <c r="G355" s="44"/>
    </row>
    <row r="356" ht="15.75" customHeight="1">
      <c r="G356" s="44"/>
    </row>
    <row r="357" ht="15.75" customHeight="1">
      <c r="G357" s="44"/>
    </row>
    <row r="358" ht="15.75" customHeight="1">
      <c r="G358" s="44"/>
    </row>
    <row r="359" ht="15.75" customHeight="1">
      <c r="G359" s="44"/>
    </row>
    <row r="360" ht="15.75" customHeight="1">
      <c r="G360" s="44"/>
    </row>
    <row r="361" ht="15.75" customHeight="1">
      <c r="G361" s="44"/>
    </row>
    <row r="362" ht="15.75" customHeight="1">
      <c r="G362" s="44"/>
    </row>
    <row r="363" ht="15.75" customHeight="1">
      <c r="G363" s="44"/>
    </row>
    <row r="364" ht="15.75" customHeight="1">
      <c r="G364" s="44"/>
    </row>
    <row r="365" ht="15.75" customHeight="1">
      <c r="G365" s="44"/>
    </row>
    <row r="366" ht="15.75" customHeight="1">
      <c r="G366" s="44"/>
    </row>
    <row r="367" ht="15.75" customHeight="1">
      <c r="G367" s="44"/>
    </row>
    <row r="368" ht="15.75" customHeight="1">
      <c r="G368" s="44"/>
    </row>
    <row r="369" ht="15.75" customHeight="1">
      <c r="G369" s="44"/>
    </row>
    <row r="370" ht="15.75" customHeight="1">
      <c r="G370" s="44"/>
    </row>
    <row r="371" ht="15.75" customHeight="1">
      <c r="G371" s="44"/>
    </row>
    <row r="372" ht="15.75" customHeight="1">
      <c r="G372" s="44"/>
    </row>
    <row r="373" ht="15.75" customHeight="1">
      <c r="G373" s="44"/>
    </row>
    <row r="374" ht="15.75" customHeight="1">
      <c r="G374" s="44"/>
    </row>
    <row r="375" ht="15.75" customHeight="1">
      <c r="G375" s="44"/>
    </row>
    <row r="376" ht="15.75" customHeight="1">
      <c r="G376" s="44"/>
    </row>
    <row r="377" ht="15.75" customHeight="1">
      <c r="G377" s="44"/>
    </row>
    <row r="378" ht="15.75" customHeight="1">
      <c r="G378" s="44"/>
    </row>
    <row r="379" ht="15.75" customHeight="1">
      <c r="G379" s="44"/>
    </row>
    <row r="380" ht="15.75" customHeight="1">
      <c r="G380" s="44"/>
    </row>
    <row r="381" ht="15.75" customHeight="1">
      <c r="G381" s="44"/>
    </row>
    <row r="382" ht="15.75" customHeight="1">
      <c r="G382" s="44"/>
    </row>
    <row r="383" ht="15.75" customHeight="1">
      <c r="G383" s="44"/>
    </row>
    <row r="384" ht="15.75" customHeight="1">
      <c r="G384" s="44"/>
    </row>
    <row r="385" ht="15.75" customHeight="1">
      <c r="G385" s="44"/>
    </row>
    <row r="386" ht="15.75" customHeight="1">
      <c r="G386" s="44"/>
    </row>
    <row r="387" ht="15.75" customHeight="1">
      <c r="G387" s="44"/>
    </row>
    <row r="388" ht="15.75" customHeight="1">
      <c r="G388" s="44"/>
    </row>
    <row r="389" ht="15.75" customHeight="1">
      <c r="G389" s="44"/>
    </row>
    <row r="390" ht="15.75" customHeight="1">
      <c r="G390" s="44"/>
    </row>
    <row r="391" ht="15.75" customHeight="1">
      <c r="G391" s="44"/>
    </row>
    <row r="392" ht="15.75" customHeight="1">
      <c r="G392" s="44"/>
    </row>
    <row r="393" ht="15.75" customHeight="1">
      <c r="G393" s="44"/>
    </row>
    <row r="394" ht="15.75" customHeight="1">
      <c r="G394" s="44"/>
    </row>
    <row r="395" ht="15.75" customHeight="1">
      <c r="G395" s="44"/>
    </row>
    <row r="396" ht="15.75" customHeight="1">
      <c r="G396" s="44"/>
    </row>
    <row r="397" ht="15.75" customHeight="1">
      <c r="G397" s="44"/>
    </row>
    <row r="398" ht="15.75" customHeight="1">
      <c r="G398" s="44"/>
    </row>
    <row r="399" ht="15.75" customHeight="1">
      <c r="G399" s="44"/>
    </row>
    <row r="400" ht="15.75" customHeight="1">
      <c r="G400" s="44"/>
    </row>
    <row r="401" ht="15.75" customHeight="1">
      <c r="G401" s="44"/>
    </row>
    <row r="402" ht="15.75" customHeight="1">
      <c r="G402" s="44"/>
    </row>
    <row r="403" ht="15.75" customHeight="1">
      <c r="G403" s="44"/>
    </row>
    <row r="404" ht="15.75" customHeight="1">
      <c r="G404" s="44"/>
    </row>
    <row r="405" ht="15.75" customHeight="1">
      <c r="G405" s="44"/>
    </row>
    <row r="406" ht="15.75" customHeight="1">
      <c r="G406" s="44"/>
    </row>
    <row r="407" ht="15.75" customHeight="1">
      <c r="G407" s="44"/>
    </row>
    <row r="408" ht="15.75" customHeight="1">
      <c r="G408" s="44"/>
    </row>
    <row r="409" ht="15.75" customHeight="1">
      <c r="G409" s="44"/>
    </row>
    <row r="410" ht="15.75" customHeight="1">
      <c r="G410" s="44"/>
    </row>
    <row r="411" ht="15.75" customHeight="1">
      <c r="G411" s="44"/>
    </row>
    <row r="412" ht="15.75" customHeight="1">
      <c r="G412" s="44"/>
    </row>
    <row r="413" ht="15.75" customHeight="1">
      <c r="G413" s="44"/>
    </row>
    <row r="414" ht="15.75" customHeight="1">
      <c r="G414" s="44"/>
    </row>
    <row r="415" ht="15.75" customHeight="1">
      <c r="G415" s="44"/>
    </row>
    <row r="416" ht="15.75" customHeight="1">
      <c r="G416" s="44"/>
    </row>
    <row r="417" ht="15.75" customHeight="1">
      <c r="G417" s="44"/>
    </row>
    <row r="418" ht="15.75" customHeight="1">
      <c r="G418" s="44"/>
    </row>
    <row r="419" ht="15.75" customHeight="1">
      <c r="G419" s="44"/>
    </row>
    <row r="420" ht="15.75" customHeight="1">
      <c r="G420" s="44"/>
    </row>
    <row r="421" ht="15.75" customHeight="1">
      <c r="G421" s="44"/>
    </row>
    <row r="422" ht="15.75" customHeight="1">
      <c r="G422" s="44"/>
    </row>
    <row r="423" ht="15.75" customHeight="1">
      <c r="G423" s="44"/>
    </row>
    <row r="424" ht="15.75" customHeight="1">
      <c r="G424" s="44"/>
    </row>
    <row r="425" ht="15.75" customHeight="1">
      <c r="G425" s="44"/>
    </row>
    <row r="426" ht="15.75" customHeight="1">
      <c r="G426" s="44"/>
    </row>
    <row r="427" ht="15.75" customHeight="1">
      <c r="G427" s="44"/>
    </row>
    <row r="428" ht="15.75" customHeight="1">
      <c r="G428" s="44"/>
    </row>
    <row r="429" ht="15.75" customHeight="1">
      <c r="G429" s="44"/>
    </row>
    <row r="430" ht="15.75" customHeight="1">
      <c r="G430" s="44"/>
    </row>
    <row r="431" ht="15.75" customHeight="1">
      <c r="G431" s="44"/>
    </row>
    <row r="432" ht="15.75" customHeight="1">
      <c r="G432" s="44"/>
    </row>
    <row r="433" ht="15.75" customHeight="1">
      <c r="G433" s="44"/>
    </row>
    <row r="434" ht="15.75" customHeight="1">
      <c r="G434" s="44"/>
    </row>
    <row r="435" ht="15.75" customHeight="1">
      <c r="G435" s="44"/>
    </row>
    <row r="436" ht="15.75" customHeight="1">
      <c r="G436" s="44"/>
    </row>
    <row r="437" ht="15.75" customHeight="1">
      <c r="G437" s="44"/>
    </row>
    <row r="438" ht="15.75" customHeight="1">
      <c r="G438" s="44"/>
    </row>
    <row r="439" ht="15.75" customHeight="1">
      <c r="G439" s="44"/>
    </row>
    <row r="440" ht="15.75" customHeight="1">
      <c r="G440" s="44"/>
    </row>
    <row r="441" ht="15.75" customHeight="1">
      <c r="G441" s="44"/>
    </row>
    <row r="442" ht="15.75" customHeight="1">
      <c r="G442" s="44"/>
    </row>
    <row r="443" ht="15.75" customHeight="1">
      <c r="G443" s="44"/>
    </row>
    <row r="444" ht="15.75" customHeight="1">
      <c r="G444" s="44"/>
    </row>
    <row r="445" ht="15.75" customHeight="1">
      <c r="G445" s="44"/>
    </row>
    <row r="446" ht="15.75" customHeight="1">
      <c r="G446" s="44"/>
    </row>
    <row r="447" ht="15.75" customHeight="1">
      <c r="G447" s="44"/>
    </row>
    <row r="448" ht="15.75" customHeight="1">
      <c r="G448" s="44"/>
    </row>
    <row r="449" ht="15.75" customHeight="1">
      <c r="G449" s="44"/>
    </row>
    <row r="450" ht="15.75" customHeight="1">
      <c r="G450" s="44"/>
    </row>
    <row r="451" ht="15.75" customHeight="1">
      <c r="G451" s="44"/>
    </row>
    <row r="452" ht="15.75" customHeight="1">
      <c r="G452" s="44"/>
    </row>
    <row r="453" ht="15.75" customHeight="1">
      <c r="G453" s="44"/>
    </row>
    <row r="454" ht="15.75" customHeight="1">
      <c r="G454" s="44"/>
    </row>
    <row r="455" ht="15.75" customHeight="1">
      <c r="G455" s="44"/>
    </row>
    <row r="456" ht="15.75" customHeight="1">
      <c r="G456" s="44"/>
    </row>
    <row r="457" ht="15.75" customHeight="1">
      <c r="G457" s="44"/>
    </row>
    <row r="458" ht="15.75" customHeight="1">
      <c r="G458" s="44"/>
    </row>
    <row r="459" ht="15.75" customHeight="1">
      <c r="G459" s="44"/>
    </row>
    <row r="460" ht="15.75" customHeight="1">
      <c r="G460" s="44"/>
    </row>
    <row r="461" ht="15.75" customHeight="1">
      <c r="G461" s="44"/>
    </row>
    <row r="462" ht="15.75" customHeight="1">
      <c r="G462" s="44"/>
    </row>
    <row r="463" ht="15.75" customHeight="1">
      <c r="G463" s="44"/>
    </row>
    <row r="464" ht="15.75" customHeight="1">
      <c r="G464" s="44"/>
    </row>
    <row r="465" ht="15.75" customHeight="1">
      <c r="G465" s="44"/>
    </row>
    <row r="466" ht="15.75" customHeight="1">
      <c r="G466" s="44"/>
    </row>
    <row r="467" ht="15.75" customHeight="1">
      <c r="G467" s="44"/>
    </row>
    <row r="468" ht="15.75" customHeight="1">
      <c r="G468" s="44"/>
    </row>
    <row r="469" ht="15.75" customHeight="1">
      <c r="G469" s="44"/>
    </row>
    <row r="470" ht="15.75" customHeight="1">
      <c r="G470" s="44"/>
    </row>
    <row r="471" ht="15.75" customHeight="1">
      <c r="G471" s="44"/>
    </row>
    <row r="472" ht="15.75" customHeight="1">
      <c r="G472" s="44"/>
    </row>
    <row r="473" ht="15.75" customHeight="1">
      <c r="G473" s="44"/>
    </row>
    <row r="474" ht="15.75" customHeight="1">
      <c r="G474" s="44"/>
    </row>
    <row r="475" ht="15.75" customHeight="1">
      <c r="G475" s="44"/>
    </row>
    <row r="476" ht="15.75" customHeight="1">
      <c r="G476" s="44"/>
    </row>
    <row r="477" ht="15.75" customHeight="1">
      <c r="G477" s="44"/>
    </row>
    <row r="478" ht="15.75" customHeight="1">
      <c r="G478" s="44"/>
    </row>
    <row r="479" ht="15.75" customHeight="1">
      <c r="G479" s="44"/>
    </row>
    <row r="480" ht="15.75" customHeight="1">
      <c r="G480" s="44"/>
    </row>
    <row r="481" ht="15.75" customHeight="1">
      <c r="G481" s="44"/>
    </row>
    <row r="482" ht="15.75" customHeight="1">
      <c r="G482" s="44"/>
    </row>
    <row r="483" ht="15.75" customHeight="1">
      <c r="G483" s="44"/>
    </row>
    <row r="484" ht="15.75" customHeight="1">
      <c r="G484" s="44"/>
    </row>
    <row r="485" ht="15.75" customHeight="1">
      <c r="G485" s="44"/>
    </row>
    <row r="486" ht="15.75" customHeight="1">
      <c r="G486" s="44"/>
    </row>
    <row r="487" ht="15.75" customHeight="1">
      <c r="G487" s="44"/>
    </row>
    <row r="488" ht="15.75" customHeight="1">
      <c r="G488" s="44"/>
    </row>
    <row r="489" ht="15.75" customHeight="1">
      <c r="G489" s="44"/>
    </row>
    <row r="490" ht="15.75" customHeight="1">
      <c r="G490" s="44"/>
    </row>
    <row r="491" ht="15.75" customHeight="1">
      <c r="G491" s="44"/>
    </row>
    <row r="492" ht="15.75" customHeight="1">
      <c r="G492" s="44"/>
    </row>
    <row r="493" ht="15.75" customHeight="1">
      <c r="G493" s="44"/>
    </row>
    <row r="494" ht="15.75" customHeight="1">
      <c r="G494" s="44"/>
    </row>
    <row r="495" ht="15.75" customHeight="1">
      <c r="G495" s="44"/>
    </row>
    <row r="496" ht="15.75" customHeight="1">
      <c r="G496" s="44"/>
    </row>
    <row r="497" ht="15.75" customHeight="1">
      <c r="G497" s="44"/>
    </row>
    <row r="498" ht="15.75" customHeight="1">
      <c r="G498" s="44"/>
    </row>
    <row r="499" ht="15.75" customHeight="1">
      <c r="G499" s="44"/>
    </row>
    <row r="500" ht="15.75" customHeight="1">
      <c r="G500" s="44"/>
    </row>
    <row r="501" ht="15.75" customHeight="1">
      <c r="G501" s="44"/>
    </row>
    <row r="502" ht="15.75" customHeight="1">
      <c r="G502" s="44"/>
    </row>
    <row r="503" ht="15.75" customHeight="1">
      <c r="G503" s="44"/>
    </row>
    <row r="504" ht="15.75" customHeight="1">
      <c r="G504" s="44"/>
    </row>
    <row r="505" ht="15.75" customHeight="1">
      <c r="G505" s="44"/>
    </row>
    <row r="506" ht="15.75" customHeight="1">
      <c r="G506" s="44"/>
    </row>
    <row r="507" ht="15.75" customHeight="1">
      <c r="G507" s="44"/>
    </row>
    <row r="508" ht="15.75" customHeight="1">
      <c r="G508" s="44"/>
    </row>
    <row r="509" ht="15.75" customHeight="1">
      <c r="G509" s="44"/>
    </row>
    <row r="510" ht="15.75" customHeight="1">
      <c r="G510" s="44"/>
    </row>
    <row r="511" ht="15.75" customHeight="1">
      <c r="G511" s="44"/>
    </row>
    <row r="512" ht="15.75" customHeight="1">
      <c r="G512" s="44"/>
    </row>
    <row r="513" ht="15.75" customHeight="1">
      <c r="G513" s="44"/>
    </row>
    <row r="514" ht="15.75" customHeight="1">
      <c r="G514" s="44"/>
    </row>
    <row r="515" ht="15.75" customHeight="1">
      <c r="G515" s="44"/>
    </row>
    <row r="516" ht="15.75" customHeight="1">
      <c r="G516" s="44"/>
    </row>
    <row r="517" ht="15.75" customHeight="1">
      <c r="G517" s="44"/>
    </row>
    <row r="518" ht="15.75" customHeight="1">
      <c r="G518" s="44"/>
    </row>
    <row r="519" ht="15.75" customHeight="1">
      <c r="G519" s="44"/>
    </row>
    <row r="520" ht="15.75" customHeight="1">
      <c r="G520" s="44"/>
    </row>
    <row r="521" ht="15.75" customHeight="1">
      <c r="G521" s="44"/>
    </row>
    <row r="522" ht="15.75" customHeight="1">
      <c r="G522" s="44"/>
    </row>
    <row r="523" ht="15.75" customHeight="1">
      <c r="G523" s="44"/>
    </row>
    <row r="524" ht="15.75" customHeight="1">
      <c r="G524" s="44"/>
    </row>
    <row r="525" ht="15.75" customHeight="1">
      <c r="G525" s="44"/>
    </row>
    <row r="526" ht="15.75" customHeight="1">
      <c r="G526" s="44"/>
    </row>
    <row r="527" ht="15.75" customHeight="1">
      <c r="G527" s="44"/>
    </row>
    <row r="528" ht="15.75" customHeight="1">
      <c r="G528" s="44"/>
    </row>
    <row r="529" ht="15.75" customHeight="1">
      <c r="G529" s="44"/>
    </row>
    <row r="530" ht="15.75" customHeight="1">
      <c r="G530" s="44"/>
    </row>
    <row r="531" ht="15.75" customHeight="1">
      <c r="G531" s="44"/>
    </row>
    <row r="532" ht="15.75" customHeight="1">
      <c r="G532" s="44"/>
    </row>
    <row r="533" ht="15.75" customHeight="1">
      <c r="G533" s="44"/>
    </row>
    <row r="534" ht="15.75" customHeight="1">
      <c r="G534" s="44"/>
    </row>
    <row r="535" ht="15.75" customHeight="1">
      <c r="G535" s="44"/>
    </row>
    <row r="536" ht="15.75" customHeight="1">
      <c r="G536" s="44"/>
    </row>
    <row r="537" ht="15.75" customHeight="1">
      <c r="G537" s="44"/>
    </row>
    <row r="538" ht="15.75" customHeight="1">
      <c r="G538" s="44"/>
    </row>
    <row r="539" ht="15.75" customHeight="1">
      <c r="G539" s="44"/>
    </row>
    <row r="540" ht="15.75" customHeight="1">
      <c r="G540" s="44"/>
    </row>
    <row r="541" ht="15.75" customHeight="1">
      <c r="G541" s="44"/>
    </row>
    <row r="542" ht="15.75" customHeight="1">
      <c r="G542" s="44"/>
    </row>
    <row r="543" ht="15.75" customHeight="1">
      <c r="G543" s="44"/>
    </row>
    <row r="544" ht="15.75" customHeight="1">
      <c r="G544" s="44"/>
    </row>
    <row r="545" ht="15.75" customHeight="1">
      <c r="G545" s="44"/>
    </row>
    <row r="546" ht="15.75" customHeight="1">
      <c r="G546" s="44"/>
    </row>
    <row r="547" ht="15.75" customHeight="1">
      <c r="G547" s="44"/>
    </row>
    <row r="548" ht="15.75" customHeight="1">
      <c r="G548" s="44"/>
    </row>
    <row r="549" ht="15.75" customHeight="1">
      <c r="G549" s="44"/>
    </row>
    <row r="550" ht="15.75" customHeight="1">
      <c r="G550" s="44"/>
    </row>
    <row r="551" ht="15.75" customHeight="1">
      <c r="G551" s="44"/>
    </row>
    <row r="552" ht="15.75" customHeight="1">
      <c r="G552" s="44"/>
    </row>
    <row r="553" ht="15.75" customHeight="1">
      <c r="G553" s="44"/>
    </row>
    <row r="554" ht="15.75" customHeight="1">
      <c r="G554" s="44"/>
    </row>
    <row r="555" ht="15.75" customHeight="1">
      <c r="G555" s="44"/>
    </row>
    <row r="556" ht="15.75" customHeight="1">
      <c r="G556" s="44"/>
    </row>
    <row r="557" ht="15.75" customHeight="1">
      <c r="G557" s="44"/>
    </row>
    <row r="558" ht="15.75" customHeight="1">
      <c r="G558" s="44"/>
    </row>
    <row r="559" ht="15.75" customHeight="1">
      <c r="G559" s="44"/>
    </row>
    <row r="560" ht="15.75" customHeight="1">
      <c r="G560" s="44"/>
    </row>
    <row r="561" ht="15.75" customHeight="1">
      <c r="G561" s="44"/>
    </row>
    <row r="562" ht="15.75" customHeight="1">
      <c r="G562" s="44"/>
    </row>
    <row r="563" ht="15.75" customHeight="1">
      <c r="G563" s="44"/>
    </row>
    <row r="564" ht="15.75" customHeight="1">
      <c r="G564" s="44"/>
    </row>
    <row r="565" ht="15.75" customHeight="1">
      <c r="G565" s="44"/>
    </row>
    <row r="566" ht="15.75" customHeight="1">
      <c r="G566" s="44"/>
    </row>
    <row r="567" ht="15.75" customHeight="1">
      <c r="G567" s="44"/>
    </row>
    <row r="568" ht="15.75" customHeight="1">
      <c r="G568" s="44"/>
    </row>
    <row r="569" ht="15.75" customHeight="1">
      <c r="G569" s="44"/>
    </row>
    <row r="570" ht="15.75" customHeight="1">
      <c r="G570" s="44"/>
    </row>
    <row r="571" ht="15.75" customHeight="1">
      <c r="G571" s="44"/>
    </row>
    <row r="572" ht="15.75" customHeight="1">
      <c r="G572" s="44"/>
    </row>
    <row r="573" ht="15.75" customHeight="1">
      <c r="G573" s="44"/>
    </row>
    <row r="574" ht="15.75" customHeight="1">
      <c r="G574" s="44"/>
    </row>
    <row r="575" ht="15.75" customHeight="1">
      <c r="G575" s="44"/>
    </row>
    <row r="576" ht="15.75" customHeight="1">
      <c r="G576" s="44"/>
    </row>
    <row r="577" ht="15.75" customHeight="1">
      <c r="G577" s="44"/>
    </row>
    <row r="578" ht="15.75" customHeight="1">
      <c r="G578" s="44"/>
    </row>
    <row r="579" ht="15.75" customHeight="1">
      <c r="G579" s="44"/>
    </row>
    <row r="580" ht="15.75" customHeight="1">
      <c r="G580" s="44"/>
    </row>
    <row r="581" ht="15.75" customHeight="1">
      <c r="G581" s="44"/>
    </row>
    <row r="582" ht="15.75" customHeight="1">
      <c r="G582" s="44"/>
    </row>
    <row r="583" ht="15.75" customHeight="1">
      <c r="G583" s="44"/>
    </row>
    <row r="584" ht="15.75" customHeight="1">
      <c r="G584" s="44"/>
    </row>
    <row r="585" ht="15.75" customHeight="1">
      <c r="G585" s="44"/>
    </row>
    <row r="586" ht="15.75" customHeight="1">
      <c r="G586" s="44"/>
    </row>
    <row r="587" ht="15.75" customHeight="1">
      <c r="G587" s="44"/>
    </row>
    <row r="588" ht="15.75" customHeight="1">
      <c r="G588" s="44"/>
    </row>
    <row r="589" ht="15.75" customHeight="1">
      <c r="G589" s="44"/>
    </row>
    <row r="590" ht="15.75" customHeight="1">
      <c r="G590" s="44"/>
    </row>
    <row r="591" ht="15.75" customHeight="1">
      <c r="G591" s="44"/>
    </row>
    <row r="592" ht="15.75" customHeight="1">
      <c r="G592" s="44"/>
    </row>
    <row r="593" ht="15.75" customHeight="1">
      <c r="G593" s="44"/>
    </row>
    <row r="594" ht="15.75" customHeight="1">
      <c r="G594" s="44"/>
    </row>
    <row r="595" ht="15.75" customHeight="1">
      <c r="G595" s="44"/>
    </row>
    <row r="596" ht="15.75" customHeight="1">
      <c r="G596" s="44"/>
    </row>
    <row r="597" ht="15.75" customHeight="1">
      <c r="G597" s="44"/>
    </row>
    <row r="598" ht="15.75" customHeight="1">
      <c r="G598" s="44"/>
    </row>
    <row r="599" ht="15.75" customHeight="1">
      <c r="G599" s="44"/>
    </row>
    <row r="600" ht="15.75" customHeight="1">
      <c r="G600" s="44"/>
    </row>
    <row r="601" ht="15.75" customHeight="1">
      <c r="G601" s="44"/>
    </row>
    <row r="602" ht="15.75" customHeight="1">
      <c r="G602" s="44"/>
    </row>
    <row r="603" ht="15.75" customHeight="1">
      <c r="G603" s="44"/>
    </row>
    <row r="604" ht="15.75" customHeight="1">
      <c r="G604" s="44"/>
    </row>
    <row r="605" ht="15.75" customHeight="1">
      <c r="G605" s="44"/>
    </row>
    <row r="606" ht="15.75" customHeight="1">
      <c r="G606" s="44"/>
    </row>
    <row r="607" ht="15.75" customHeight="1">
      <c r="G607" s="44"/>
    </row>
    <row r="608" ht="15.75" customHeight="1">
      <c r="G608" s="44"/>
    </row>
    <row r="609" ht="15.75" customHeight="1">
      <c r="G609" s="44"/>
    </row>
    <row r="610" ht="15.75" customHeight="1">
      <c r="G610" s="44"/>
    </row>
    <row r="611" ht="15.75" customHeight="1">
      <c r="G611" s="44"/>
    </row>
    <row r="612" ht="15.75" customHeight="1">
      <c r="G612" s="44"/>
    </row>
    <row r="613" ht="15.75" customHeight="1">
      <c r="G613" s="44"/>
    </row>
    <row r="614" ht="15.75" customHeight="1">
      <c r="G614" s="44"/>
    </row>
    <row r="615" ht="15.75" customHeight="1">
      <c r="G615" s="44"/>
    </row>
    <row r="616" ht="15.75" customHeight="1">
      <c r="G616" s="44"/>
    </row>
    <row r="617" ht="15.75" customHeight="1">
      <c r="G617" s="44"/>
    </row>
    <row r="618" ht="15.75" customHeight="1">
      <c r="G618" s="44"/>
    </row>
    <row r="619" ht="15.75" customHeight="1">
      <c r="G619" s="44"/>
    </row>
    <row r="620" ht="15.75" customHeight="1">
      <c r="G620" s="44"/>
    </row>
    <row r="621" ht="15.75" customHeight="1">
      <c r="G621" s="44"/>
    </row>
    <row r="622" ht="15.75" customHeight="1">
      <c r="G622" s="44"/>
    </row>
    <row r="623" ht="15.75" customHeight="1">
      <c r="G623" s="44"/>
    </row>
    <row r="624" ht="15.75" customHeight="1">
      <c r="G624" s="44"/>
    </row>
    <row r="625" ht="15.75" customHeight="1">
      <c r="G625" s="44"/>
    </row>
    <row r="626" ht="15.75" customHeight="1">
      <c r="G626" s="44"/>
    </row>
    <row r="627" ht="15.75" customHeight="1">
      <c r="G627" s="44"/>
    </row>
    <row r="628" ht="15.75" customHeight="1">
      <c r="G628" s="44"/>
    </row>
    <row r="629" ht="15.75" customHeight="1">
      <c r="G629" s="44"/>
    </row>
    <row r="630" ht="15.75" customHeight="1">
      <c r="G630" s="44"/>
    </row>
    <row r="631" ht="15.75" customHeight="1">
      <c r="G631" s="44"/>
    </row>
    <row r="632" ht="15.75" customHeight="1">
      <c r="G632" s="44"/>
    </row>
    <row r="633" ht="15.75" customHeight="1">
      <c r="G633" s="44"/>
    </row>
    <row r="634" ht="15.75" customHeight="1">
      <c r="G634" s="44"/>
    </row>
    <row r="635" ht="15.75" customHeight="1">
      <c r="G635" s="44"/>
    </row>
    <row r="636" ht="15.75" customHeight="1">
      <c r="G636" s="44"/>
    </row>
    <row r="637" ht="15.75" customHeight="1">
      <c r="G637" s="44"/>
    </row>
    <row r="638" ht="15.75" customHeight="1">
      <c r="G638" s="44"/>
    </row>
    <row r="639" ht="15.75" customHeight="1">
      <c r="G639" s="44"/>
    </row>
    <row r="640" ht="15.75" customHeight="1">
      <c r="G640" s="44"/>
    </row>
    <row r="641" ht="15.75" customHeight="1">
      <c r="G641" s="44"/>
    </row>
    <row r="642" ht="15.75" customHeight="1">
      <c r="G642" s="44"/>
    </row>
    <row r="643" ht="15.75" customHeight="1">
      <c r="G643" s="44"/>
    </row>
    <row r="644" ht="15.75" customHeight="1">
      <c r="G644" s="44"/>
    </row>
    <row r="645" ht="15.75" customHeight="1">
      <c r="G645" s="44"/>
    </row>
    <row r="646" ht="15.75" customHeight="1">
      <c r="G646" s="44"/>
    </row>
    <row r="647" ht="15.75" customHeight="1">
      <c r="G647" s="44"/>
    </row>
    <row r="648" ht="15.75" customHeight="1">
      <c r="G648" s="44"/>
    </row>
    <row r="649" ht="15.75" customHeight="1">
      <c r="G649" s="44"/>
    </row>
    <row r="650" ht="15.75" customHeight="1">
      <c r="G650" s="44"/>
    </row>
    <row r="651" ht="15.75" customHeight="1">
      <c r="G651" s="44"/>
    </row>
    <row r="652" ht="15.75" customHeight="1">
      <c r="G652" s="44"/>
    </row>
    <row r="653" ht="15.75" customHeight="1">
      <c r="G653" s="44"/>
    </row>
    <row r="654" ht="15.75" customHeight="1">
      <c r="G654" s="44"/>
    </row>
    <row r="655" ht="15.75" customHeight="1">
      <c r="G655" s="44"/>
    </row>
    <row r="656" ht="15.75" customHeight="1">
      <c r="G656" s="44"/>
    </row>
    <row r="657" ht="15.75" customHeight="1">
      <c r="G657" s="44"/>
    </row>
    <row r="658" ht="15.75" customHeight="1">
      <c r="G658" s="44"/>
    </row>
    <row r="659" ht="15.75" customHeight="1">
      <c r="G659" s="44"/>
    </row>
    <row r="660" ht="15.75" customHeight="1">
      <c r="G660" s="44"/>
    </row>
    <row r="661" ht="15.75" customHeight="1">
      <c r="G661" s="44"/>
    </row>
    <row r="662" ht="15.75" customHeight="1">
      <c r="G662" s="44"/>
    </row>
    <row r="663" ht="15.75" customHeight="1">
      <c r="G663" s="44"/>
    </row>
    <row r="664" ht="15.75" customHeight="1">
      <c r="G664" s="44"/>
    </row>
    <row r="665" ht="15.75" customHeight="1">
      <c r="G665" s="44"/>
    </row>
    <row r="666" ht="15.75" customHeight="1">
      <c r="G666" s="44"/>
    </row>
    <row r="667" ht="15.75" customHeight="1">
      <c r="G667" s="44"/>
    </row>
    <row r="668" ht="15.75" customHeight="1">
      <c r="G668" s="44"/>
    </row>
    <row r="669" ht="15.75" customHeight="1">
      <c r="G669" s="44"/>
    </row>
    <row r="670" ht="15.75" customHeight="1">
      <c r="G670" s="44"/>
    </row>
    <row r="671" ht="15.75" customHeight="1">
      <c r="G671" s="44"/>
    </row>
    <row r="672" ht="15.75" customHeight="1">
      <c r="G672" s="44"/>
    </row>
    <row r="673" ht="15.75" customHeight="1">
      <c r="G673" s="44"/>
    </row>
    <row r="674" ht="15.75" customHeight="1">
      <c r="G674" s="44"/>
    </row>
    <row r="675" ht="15.75" customHeight="1">
      <c r="G675" s="44"/>
    </row>
    <row r="676" ht="15.75" customHeight="1">
      <c r="G676" s="44"/>
    </row>
    <row r="677" ht="15.75" customHeight="1">
      <c r="G677" s="44"/>
    </row>
    <row r="678" ht="15.75" customHeight="1">
      <c r="G678" s="44"/>
    </row>
    <row r="679" ht="15.75" customHeight="1">
      <c r="G679" s="44"/>
    </row>
    <row r="680" ht="15.75" customHeight="1">
      <c r="G680" s="44"/>
    </row>
    <row r="681" ht="15.75" customHeight="1">
      <c r="G681" s="44"/>
    </row>
    <row r="682" ht="15.75" customHeight="1">
      <c r="G682" s="44"/>
    </row>
    <row r="683" ht="15.75" customHeight="1">
      <c r="G683" s="44"/>
    </row>
    <row r="684" ht="15.75" customHeight="1">
      <c r="G684" s="44"/>
    </row>
    <row r="685" ht="15.75" customHeight="1">
      <c r="G685" s="44"/>
    </row>
    <row r="686" ht="15.75" customHeight="1">
      <c r="G686" s="44"/>
    </row>
    <row r="687" ht="15.75" customHeight="1">
      <c r="G687" s="44"/>
    </row>
    <row r="688" ht="15.75" customHeight="1">
      <c r="G688" s="44"/>
    </row>
    <row r="689" ht="15.75" customHeight="1">
      <c r="G689" s="44"/>
    </row>
    <row r="690" ht="15.75" customHeight="1">
      <c r="G690" s="44"/>
    </row>
    <row r="691" ht="15.75" customHeight="1">
      <c r="G691" s="44"/>
    </row>
    <row r="692" ht="15.75" customHeight="1">
      <c r="G692" s="44"/>
    </row>
    <row r="693" ht="15.75" customHeight="1">
      <c r="G693" s="44"/>
    </row>
    <row r="694" ht="15.75" customHeight="1">
      <c r="G694" s="44"/>
    </row>
    <row r="695" ht="15.75" customHeight="1">
      <c r="G695" s="44"/>
    </row>
    <row r="696" ht="15.75" customHeight="1">
      <c r="G696" s="44"/>
    </row>
    <row r="697" ht="15.75" customHeight="1">
      <c r="G697" s="44"/>
    </row>
    <row r="698" ht="15.75" customHeight="1">
      <c r="G698" s="44"/>
    </row>
    <row r="699" ht="15.75" customHeight="1">
      <c r="G699" s="44"/>
    </row>
    <row r="700" ht="15.75" customHeight="1">
      <c r="G700" s="44"/>
    </row>
    <row r="701" ht="15.75" customHeight="1">
      <c r="G701" s="44"/>
    </row>
    <row r="702" ht="15.75" customHeight="1">
      <c r="G702" s="44"/>
    </row>
    <row r="703" ht="15.75" customHeight="1">
      <c r="G703" s="44"/>
    </row>
    <row r="704" ht="15.75" customHeight="1">
      <c r="G704" s="44"/>
    </row>
    <row r="705" ht="15.75" customHeight="1">
      <c r="G705" s="44"/>
    </row>
    <row r="706" ht="15.75" customHeight="1">
      <c r="G706" s="44"/>
    </row>
    <row r="707" ht="15.75" customHeight="1">
      <c r="G707" s="44"/>
    </row>
    <row r="708" ht="15.75" customHeight="1">
      <c r="G708" s="44"/>
    </row>
    <row r="709" ht="15.75" customHeight="1">
      <c r="G709" s="44"/>
    </row>
    <row r="710" ht="15.75" customHeight="1">
      <c r="G710" s="44"/>
    </row>
    <row r="711" ht="15.75" customHeight="1">
      <c r="G711" s="44"/>
    </row>
    <row r="712" ht="15.75" customHeight="1">
      <c r="G712" s="44"/>
    </row>
    <row r="713" ht="15.75" customHeight="1">
      <c r="G713" s="44"/>
    </row>
    <row r="714" ht="15.75" customHeight="1">
      <c r="G714" s="44"/>
    </row>
    <row r="715" ht="15.75" customHeight="1">
      <c r="G715" s="44"/>
    </row>
    <row r="716" ht="15.75" customHeight="1">
      <c r="G716" s="44"/>
    </row>
    <row r="717" ht="15.75" customHeight="1">
      <c r="G717" s="44"/>
    </row>
    <row r="718" ht="15.75" customHeight="1">
      <c r="G718" s="44"/>
    </row>
    <row r="719" ht="15.75" customHeight="1">
      <c r="G719" s="44"/>
    </row>
    <row r="720" ht="15.75" customHeight="1">
      <c r="G720" s="44"/>
    </row>
    <row r="721" ht="15.75" customHeight="1">
      <c r="G721" s="44"/>
    </row>
    <row r="722" ht="15.75" customHeight="1">
      <c r="G722" s="44"/>
    </row>
    <row r="723" ht="15.75" customHeight="1">
      <c r="G723" s="44"/>
    </row>
    <row r="724" ht="15.75" customHeight="1">
      <c r="G724" s="44"/>
    </row>
    <row r="725" ht="15.75" customHeight="1">
      <c r="G725" s="44"/>
    </row>
    <row r="726" ht="15.75" customHeight="1">
      <c r="G726" s="44"/>
    </row>
    <row r="727" ht="15.75" customHeight="1">
      <c r="G727" s="44"/>
    </row>
    <row r="728" ht="15.75" customHeight="1">
      <c r="G728" s="44"/>
    </row>
    <row r="729" ht="15.75" customHeight="1">
      <c r="G729" s="44"/>
    </row>
    <row r="730" ht="15.75" customHeight="1">
      <c r="G730" s="44"/>
    </row>
    <row r="731" ht="15.75" customHeight="1">
      <c r="G731" s="44"/>
    </row>
    <row r="732" ht="15.75" customHeight="1">
      <c r="G732" s="44"/>
    </row>
    <row r="733" ht="15.75" customHeight="1">
      <c r="G733" s="44"/>
    </row>
    <row r="734" ht="15.75" customHeight="1">
      <c r="G734" s="44"/>
    </row>
    <row r="735" ht="15.75" customHeight="1">
      <c r="G735" s="44"/>
    </row>
    <row r="736" ht="15.75" customHeight="1">
      <c r="G736" s="44"/>
    </row>
    <row r="737" ht="15.75" customHeight="1">
      <c r="G737" s="44"/>
    </row>
    <row r="738" ht="15.75" customHeight="1">
      <c r="G738" s="44"/>
    </row>
    <row r="739" ht="15.75" customHeight="1">
      <c r="G739" s="44"/>
    </row>
    <row r="740" ht="15.75" customHeight="1">
      <c r="G740" s="44"/>
    </row>
    <row r="741" ht="15.75" customHeight="1">
      <c r="G741" s="44"/>
    </row>
    <row r="742" ht="15.75" customHeight="1">
      <c r="G742" s="44"/>
    </row>
    <row r="743" ht="15.75" customHeight="1">
      <c r="G743" s="44"/>
    </row>
    <row r="744" ht="15.75" customHeight="1">
      <c r="G744" s="44"/>
    </row>
    <row r="745" ht="15.75" customHeight="1">
      <c r="G745" s="44"/>
    </row>
    <row r="746" ht="15.75" customHeight="1">
      <c r="G746" s="44"/>
    </row>
    <row r="747" ht="15.75" customHeight="1">
      <c r="G747" s="44"/>
    </row>
    <row r="748" ht="15.75" customHeight="1">
      <c r="G748" s="44"/>
    </row>
    <row r="749" ht="15.75" customHeight="1">
      <c r="G749" s="44"/>
    </row>
    <row r="750" ht="15.75" customHeight="1">
      <c r="G750" s="44"/>
    </row>
    <row r="751" ht="15.75" customHeight="1">
      <c r="G751" s="44"/>
    </row>
    <row r="752" ht="15.75" customHeight="1">
      <c r="G752" s="44"/>
    </row>
    <row r="753" ht="15.75" customHeight="1">
      <c r="G753" s="44"/>
    </row>
    <row r="754" ht="15.75" customHeight="1">
      <c r="G754" s="44"/>
    </row>
    <row r="755" ht="15.75" customHeight="1">
      <c r="G755" s="44"/>
    </row>
    <row r="756" ht="15.75" customHeight="1">
      <c r="G756" s="44"/>
    </row>
    <row r="757" ht="15.75" customHeight="1">
      <c r="G757" s="44"/>
    </row>
    <row r="758" ht="15.75" customHeight="1">
      <c r="G758" s="44"/>
    </row>
    <row r="759" ht="15.75" customHeight="1">
      <c r="G759" s="44"/>
    </row>
    <row r="760" ht="15.75" customHeight="1">
      <c r="G760" s="44"/>
    </row>
    <row r="761" ht="15.75" customHeight="1">
      <c r="G761" s="44"/>
    </row>
    <row r="762" ht="15.75" customHeight="1">
      <c r="G762" s="44"/>
    </row>
    <row r="763" ht="15.75" customHeight="1">
      <c r="G763" s="44"/>
    </row>
    <row r="764" ht="15.75" customHeight="1">
      <c r="G764" s="44"/>
    </row>
    <row r="765" ht="15.75" customHeight="1">
      <c r="G765" s="44"/>
    </row>
    <row r="766" ht="15.75" customHeight="1">
      <c r="G766" s="44"/>
    </row>
    <row r="767" ht="15.75" customHeight="1">
      <c r="G767" s="44"/>
    </row>
    <row r="768" ht="15.75" customHeight="1">
      <c r="G768" s="44"/>
    </row>
    <row r="769" ht="15.75" customHeight="1">
      <c r="G769" s="44"/>
    </row>
    <row r="770" ht="15.75" customHeight="1">
      <c r="G770" s="44"/>
    </row>
    <row r="771" ht="15.75" customHeight="1">
      <c r="G771" s="44"/>
    </row>
    <row r="772" ht="15.75" customHeight="1">
      <c r="G772" s="44"/>
    </row>
    <row r="773" ht="15.75" customHeight="1">
      <c r="G773" s="44"/>
    </row>
    <row r="774" ht="15.75" customHeight="1">
      <c r="G774" s="44"/>
    </row>
    <row r="775" ht="15.75" customHeight="1">
      <c r="G775" s="44"/>
    </row>
    <row r="776" ht="15.75" customHeight="1">
      <c r="G776" s="44"/>
    </row>
    <row r="777" ht="15.75" customHeight="1">
      <c r="G777" s="44"/>
    </row>
    <row r="778" ht="15.75" customHeight="1">
      <c r="G778" s="44"/>
    </row>
    <row r="779" ht="15.75" customHeight="1">
      <c r="G779" s="44"/>
    </row>
    <row r="780" ht="15.75" customHeight="1">
      <c r="G780" s="44"/>
    </row>
    <row r="781" ht="15.75" customHeight="1">
      <c r="G781" s="44"/>
    </row>
    <row r="782" ht="15.75" customHeight="1">
      <c r="G782" s="44"/>
    </row>
    <row r="783" ht="15.75" customHeight="1">
      <c r="G783" s="44"/>
    </row>
    <row r="784" ht="15.75" customHeight="1">
      <c r="G784" s="44"/>
    </row>
    <row r="785" ht="15.75" customHeight="1">
      <c r="G785" s="44"/>
    </row>
    <row r="786" ht="15.75" customHeight="1">
      <c r="G786" s="44"/>
    </row>
    <row r="787" ht="15.75" customHeight="1">
      <c r="G787" s="44"/>
    </row>
    <row r="788" ht="15.75" customHeight="1">
      <c r="G788" s="44"/>
    </row>
    <row r="789" ht="15.75" customHeight="1">
      <c r="G789" s="44"/>
    </row>
    <row r="790" ht="15.75" customHeight="1">
      <c r="G790" s="44"/>
    </row>
    <row r="791" ht="15.75" customHeight="1">
      <c r="G791" s="44"/>
    </row>
    <row r="792" ht="15.75" customHeight="1">
      <c r="G792" s="44"/>
    </row>
    <row r="793" ht="15.75" customHeight="1">
      <c r="G793" s="44"/>
    </row>
    <row r="794" ht="15.75" customHeight="1">
      <c r="G794" s="44"/>
    </row>
    <row r="795" ht="15.75" customHeight="1">
      <c r="G795" s="44"/>
    </row>
    <row r="796" ht="15.75" customHeight="1">
      <c r="G796" s="44"/>
    </row>
    <row r="797" ht="15.75" customHeight="1">
      <c r="G797" s="44"/>
    </row>
    <row r="798" ht="15.75" customHeight="1">
      <c r="G798" s="44"/>
    </row>
    <row r="799" ht="15.75" customHeight="1">
      <c r="G799" s="44"/>
    </row>
    <row r="800" ht="15.75" customHeight="1">
      <c r="G800" s="44"/>
    </row>
    <row r="801" ht="15.75" customHeight="1">
      <c r="G801" s="44"/>
    </row>
    <row r="802" ht="15.75" customHeight="1">
      <c r="G802" s="44"/>
    </row>
    <row r="803" ht="15.75" customHeight="1">
      <c r="G803" s="44"/>
    </row>
    <row r="804" ht="15.75" customHeight="1">
      <c r="G804" s="44"/>
    </row>
    <row r="805" ht="15.75" customHeight="1">
      <c r="G805" s="44"/>
    </row>
    <row r="806" ht="15.75" customHeight="1">
      <c r="G806" s="44"/>
    </row>
    <row r="807" ht="15.75" customHeight="1">
      <c r="G807" s="44"/>
    </row>
    <row r="808" ht="15.75" customHeight="1">
      <c r="G808" s="44"/>
    </row>
    <row r="809" ht="15.75" customHeight="1">
      <c r="G809" s="44"/>
    </row>
    <row r="810" ht="15.75" customHeight="1">
      <c r="G810" s="44"/>
    </row>
    <row r="811" ht="15.75" customHeight="1">
      <c r="G811" s="44"/>
    </row>
    <row r="812" ht="15.75" customHeight="1">
      <c r="G812" s="44"/>
    </row>
    <row r="813" ht="15.75" customHeight="1">
      <c r="G813" s="44"/>
    </row>
    <row r="814" ht="15.75" customHeight="1">
      <c r="G814" s="44"/>
    </row>
    <row r="815" ht="15.75" customHeight="1">
      <c r="G815" s="44"/>
    </row>
    <row r="816" ht="15.75" customHeight="1">
      <c r="G816" s="44"/>
    </row>
    <row r="817" ht="15.75" customHeight="1">
      <c r="G817" s="44"/>
    </row>
    <row r="818" ht="15.75" customHeight="1">
      <c r="G818" s="44"/>
    </row>
    <row r="819" ht="15.75" customHeight="1">
      <c r="G819" s="44"/>
    </row>
    <row r="820" ht="15.75" customHeight="1">
      <c r="G820" s="44"/>
    </row>
    <row r="821" ht="15.75" customHeight="1">
      <c r="G821" s="44"/>
    </row>
    <row r="822" ht="15.75" customHeight="1">
      <c r="G822" s="44"/>
    </row>
    <row r="823" ht="15.75" customHeight="1">
      <c r="G823" s="44"/>
    </row>
    <row r="824" ht="15.75" customHeight="1">
      <c r="G824" s="44"/>
    </row>
    <row r="825" ht="15.75" customHeight="1">
      <c r="G825" s="44"/>
    </row>
    <row r="826" ht="15.75" customHeight="1">
      <c r="G826" s="44"/>
    </row>
    <row r="827" ht="15.75" customHeight="1">
      <c r="G827" s="44"/>
    </row>
    <row r="828" ht="15.75" customHeight="1">
      <c r="G828" s="44"/>
    </row>
    <row r="829" ht="15.75" customHeight="1">
      <c r="G829" s="44"/>
    </row>
    <row r="830" ht="15.75" customHeight="1">
      <c r="G830" s="44"/>
    </row>
    <row r="831" ht="15.75" customHeight="1">
      <c r="G831" s="44"/>
    </row>
    <row r="832" ht="15.75" customHeight="1">
      <c r="G832" s="44"/>
    </row>
    <row r="833" ht="15.75" customHeight="1">
      <c r="G833" s="44"/>
    </row>
    <row r="834" ht="15.75" customHeight="1">
      <c r="G834" s="44"/>
    </row>
    <row r="835" ht="15.75" customHeight="1">
      <c r="G835" s="44"/>
    </row>
    <row r="836" ht="15.75" customHeight="1">
      <c r="G836" s="44"/>
    </row>
    <row r="837" ht="15.75" customHeight="1">
      <c r="G837" s="44"/>
    </row>
    <row r="838" ht="15.75" customHeight="1">
      <c r="G838" s="44"/>
    </row>
    <row r="839" ht="15.75" customHeight="1">
      <c r="G839" s="44"/>
    </row>
    <row r="840" ht="15.75" customHeight="1">
      <c r="G840" s="44"/>
    </row>
    <row r="841" ht="15.75" customHeight="1">
      <c r="G841" s="44"/>
    </row>
    <row r="842" ht="15.75" customHeight="1">
      <c r="G842" s="44"/>
    </row>
    <row r="843" ht="15.75" customHeight="1">
      <c r="G843" s="44"/>
    </row>
    <row r="844" ht="15.75" customHeight="1">
      <c r="G844" s="44"/>
    </row>
    <row r="845" ht="15.75" customHeight="1">
      <c r="G845" s="44"/>
    </row>
    <row r="846" ht="15.75" customHeight="1">
      <c r="G846" s="44"/>
    </row>
    <row r="847" ht="15.75" customHeight="1">
      <c r="G847" s="44"/>
    </row>
    <row r="848" ht="15.75" customHeight="1">
      <c r="G848" s="44"/>
    </row>
    <row r="849" ht="15.75" customHeight="1">
      <c r="G849" s="44"/>
    </row>
    <row r="850" ht="15.75" customHeight="1">
      <c r="G850" s="44"/>
    </row>
    <row r="851" ht="15.75" customHeight="1">
      <c r="G851" s="44"/>
    </row>
    <row r="852" ht="15.75" customHeight="1">
      <c r="G852" s="44"/>
    </row>
    <row r="853" ht="15.75" customHeight="1">
      <c r="G853" s="44"/>
    </row>
    <row r="854" ht="15.75" customHeight="1">
      <c r="G854" s="44"/>
    </row>
    <row r="855" ht="15.75" customHeight="1">
      <c r="G855" s="44"/>
    </row>
    <row r="856" ht="15.75" customHeight="1">
      <c r="G856" s="44"/>
    </row>
    <row r="857" ht="15.75" customHeight="1">
      <c r="G857" s="44"/>
    </row>
    <row r="858" ht="15.75" customHeight="1">
      <c r="G858" s="44"/>
    </row>
    <row r="859" ht="15.75" customHeight="1">
      <c r="G859" s="44"/>
    </row>
    <row r="860" ht="15.75" customHeight="1">
      <c r="G860" s="44"/>
    </row>
    <row r="861" ht="15.75" customHeight="1">
      <c r="G861" s="44"/>
    </row>
    <row r="862" ht="15.75" customHeight="1">
      <c r="G862" s="44"/>
    </row>
    <row r="863" ht="15.75" customHeight="1">
      <c r="G863" s="44"/>
    </row>
    <row r="864" ht="15.75" customHeight="1">
      <c r="G864" s="44"/>
    </row>
    <row r="865" ht="15.75" customHeight="1">
      <c r="G865" s="44"/>
    </row>
    <row r="866" ht="15.75" customHeight="1">
      <c r="G866" s="44"/>
    </row>
    <row r="867" ht="15.75" customHeight="1">
      <c r="G867" s="44"/>
    </row>
    <row r="868" ht="15.75" customHeight="1">
      <c r="G868" s="44"/>
    </row>
    <row r="869" ht="15.75" customHeight="1">
      <c r="G869" s="44"/>
    </row>
    <row r="870" ht="15.75" customHeight="1">
      <c r="G870" s="44"/>
    </row>
    <row r="871" ht="15.75" customHeight="1">
      <c r="G871" s="44"/>
    </row>
    <row r="872" ht="15.75" customHeight="1">
      <c r="G872" s="44"/>
    </row>
    <row r="873" ht="15.75" customHeight="1">
      <c r="G873" s="44"/>
    </row>
    <row r="874" ht="15.75" customHeight="1">
      <c r="G874" s="44"/>
    </row>
    <row r="875" ht="15.75" customHeight="1">
      <c r="G875" s="44"/>
    </row>
    <row r="876" ht="15.75" customHeight="1">
      <c r="G876" s="44"/>
    </row>
    <row r="877" ht="15.75" customHeight="1">
      <c r="G877" s="44"/>
    </row>
    <row r="878" ht="15.75" customHeight="1">
      <c r="G878" s="44"/>
    </row>
    <row r="879" ht="15.75" customHeight="1">
      <c r="G879" s="44"/>
    </row>
    <row r="880" ht="15.75" customHeight="1">
      <c r="G880" s="44"/>
    </row>
    <row r="881" ht="15.75" customHeight="1">
      <c r="G881" s="44"/>
    </row>
    <row r="882" ht="15.75" customHeight="1">
      <c r="G882" s="44"/>
    </row>
    <row r="883" ht="15.75" customHeight="1">
      <c r="G883" s="44"/>
    </row>
    <row r="884" ht="15.75" customHeight="1">
      <c r="G884" s="44"/>
    </row>
    <row r="885" ht="15.75" customHeight="1">
      <c r="G885" s="44"/>
    </row>
    <row r="886" ht="15.75" customHeight="1">
      <c r="G886" s="44"/>
    </row>
    <row r="887" ht="15.75" customHeight="1">
      <c r="G887" s="44"/>
    </row>
    <row r="888" ht="15.75" customHeight="1">
      <c r="G888" s="44"/>
    </row>
    <row r="889" ht="15.75" customHeight="1">
      <c r="G889" s="44"/>
    </row>
    <row r="890" ht="15.75" customHeight="1">
      <c r="G890" s="44"/>
    </row>
    <row r="891" ht="15.75" customHeight="1">
      <c r="G891" s="44"/>
    </row>
    <row r="892" ht="15.75" customHeight="1">
      <c r="G892" s="44"/>
    </row>
    <row r="893" ht="15.75" customHeight="1">
      <c r="G893" s="44"/>
    </row>
    <row r="894" ht="15.75" customHeight="1">
      <c r="G894" s="44"/>
    </row>
    <row r="895" ht="15.75" customHeight="1">
      <c r="G895" s="44"/>
    </row>
    <row r="896" ht="15.75" customHeight="1">
      <c r="G896" s="44"/>
    </row>
    <row r="897" ht="15.75" customHeight="1">
      <c r="G897" s="44"/>
    </row>
    <row r="898" ht="15.75" customHeight="1">
      <c r="G898" s="44"/>
    </row>
    <row r="899" ht="15.75" customHeight="1">
      <c r="G899" s="44"/>
    </row>
    <row r="900" ht="15.75" customHeight="1">
      <c r="G900" s="44"/>
    </row>
    <row r="901" ht="15.75" customHeight="1">
      <c r="G901" s="44"/>
    </row>
    <row r="902" ht="15.75" customHeight="1">
      <c r="G902" s="44"/>
    </row>
    <row r="903" ht="15.75" customHeight="1">
      <c r="G903" s="44"/>
    </row>
    <row r="904" ht="15.75" customHeight="1">
      <c r="G904" s="44"/>
    </row>
    <row r="905" ht="15.75" customHeight="1">
      <c r="G905" s="44"/>
    </row>
    <row r="906" ht="15.75" customHeight="1">
      <c r="G906" s="44"/>
    </row>
    <row r="907" ht="15.75" customHeight="1">
      <c r="G907" s="44"/>
    </row>
    <row r="908" ht="15.75" customHeight="1">
      <c r="G908" s="44"/>
    </row>
    <row r="909" ht="15.75" customHeight="1">
      <c r="G909" s="44"/>
    </row>
    <row r="910" ht="15.75" customHeight="1">
      <c r="G910" s="44"/>
    </row>
    <row r="911" ht="15.75" customHeight="1">
      <c r="G911" s="44"/>
    </row>
    <row r="912" ht="15.75" customHeight="1">
      <c r="G912" s="44"/>
    </row>
    <row r="913" ht="15.75" customHeight="1">
      <c r="G913" s="44"/>
    </row>
    <row r="914" ht="15.75" customHeight="1">
      <c r="G914" s="44"/>
    </row>
    <row r="915" ht="15.75" customHeight="1">
      <c r="G915" s="44"/>
    </row>
    <row r="916" ht="15.75" customHeight="1">
      <c r="G916" s="44"/>
    </row>
    <row r="917" ht="15.75" customHeight="1">
      <c r="G917" s="44"/>
    </row>
    <row r="918" ht="15.75" customHeight="1">
      <c r="G918" s="44"/>
    </row>
    <row r="919" ht="15.75" customHeight="1">
      <c r="G919" s="44"/>
    </row>
    <row r="920" ht="15.75" customHeight="1">
      <c r="G920" s="44"/>
    </row>
    <row r="921" ht="15.75" customHeight="1">
      <c r="G921" s="44"/>
    </row>
    <row r="922" ht="15.75" customHeight="1">
      <c r="G922" s="44"/>
    </row>
    <row r="923" ht="15.75" customHeight="1">
      <c r="G923" s="44"/>
    </row>
    <row r="924" ht="15.75" customHeight="1">
      <c r="G924" s="44"/>
    </row>
    <row r="925" ht="15.75" customHeight="1">
      <c r="G925" s="44"/>
    </row>
    <row r="926" ht="15.75" customHeight="1">
      <c r="G926" s="44"/>
    </row>
    <row r="927" ht="15.75" customHeight="1">
      <c r="G927" s="44"/>
    </row>
    <row r="928" ht="15.75" customHeight="1">
      <c r="G928" s="44"/>
    </row>
    <row r="929" ht="15.75" customHeight="1">
      <c r="G929" s="44"/>
    </row>
    <row r="930" ht="15.75" customHeight="1">
      <c r="G930" s="44"/>
    </row>
    <row r="931" ht="15.75" customHeight="1">
      <c r="G931" s="44"/>
    </row>
    <row r="932" ht="15.75" customHeight="1">
      <c r="G932" s="44"/>
    </row>
    <row r="933" ht="15.75" customHeight="1">
      <c r="G933" s="44"/>
    </row>
    <row r="934" ht="15.75" customHeight="1">
      <c r="G934" s="44"/>
    </row>
    <row r="935" ht="15.75" customHeight="1">
      <c r="G935" s="44"/>
    </row>
    <row r="936" ht="15.75" customHeight="1">
      <c r="G936" s="44"/>
    </row>
    <row r="937" ht="15.75" customHeight="1">
      <c r="G937" s="44"/>
    </row>
    <row r="938" ht="15.75" customHeight="1">
      <c r="G938" s="44"/>
    </row>
    <row r="939" ht="15.75" customHeight="1">
      <c r="G939" s="44"/>
    </row>
    <row r="940" ht="15.75" customHeight="1">
      <c r="G940" s="44"/>
    </row>
    <row r="941" ht="15.75" customHeight="1">
      <c r="G941" s="44"/>
    </row>
    <row r="942" ht="15.75" customHeight="1">
      <c r="G942" s="44"/>
    </row>
    <row r="943" ht="15.75" customHeight="1">
      <c r="G943" s="44"/>
    </row>
    <row r="944" ht="15.75" customHeight="1">
      <c r="G944" s="44"/>
    </row>
    <row r="945" ht="15.75" customHeight="1">
      <c r="G945" s="44"/>
    </row>
    <row r="946" ht="15.75" customHeight="1">
      <c r="G946" s="44"/>
    </row>
    <row r="947" ht="15.75" customHeight="1">
      <c r="G947" s="44"/>
    </row>
    <row r="948" ht="15.75" customHeight="1">
      <c r="G948" s="44"/>
    </row>
    <row r="949" ht="15.75" customHeight="1">
      <c r="G949" s="44"/>
    </row>
    <row r="950" ht="15.75" customHeight="1">
      <c r="G950" s="44"/>
    </row>
    <row r="951" ht="15.75" customHeight="1">
      <c r="G951" s="44"/>
    </row>
    <row r="952" ht="15.75" customHeight="1">
      <c r="G952" s="44"/>
    </row>
    <row r="953" ht="15.75" customHeight="1">
      <c r="G953" s="44"/>
    </row>
    <row r="954" ht="15.75" customHeight="1">
      <c r="G954" s="44"/>
    </row>
    <row r="955" ht="15.75" customHeight="1">
      <c r="G955" s="44"/>
    </row>
    <row r="956" ht="15.75" customHeight="1">
      <c r="G956" s="44"/>
    </row>
    <row r="957" ht="15.75" customHeight="1">
      <c r="G957" s="44"/>
    </row>
    <row r="958" ht="15.75" customHeight="1">
      <c r="G958" s="44"/>
    </row>
    <row r="959" ht="15.75" customHeight="1">
      <c r="G959" s="44"/>
    </row>
    <row r="960" ht="15.75" customHeight="1">
      <c r="G960" s="44"/>
    </row>
    <row r="961" ht="15.75" customHeight="1">
      <c r="G961" s="44"/>
    </row>
    <row r="962" ht="15.75" customHeight="1">
      <c r="G962" s="44"/>
    </row>
    <row r="963" ht="15.75" customHeight="1">
      <c r="G963" s="44"/>
    </row>
    <row r="964" ht="15.75" customHeight="1">
      <c r="G964" s="44"/>
    </row>
    <row r="965" ht="15.75" customHeight="1">
      <c r="G965" s="44"/>
    </row>
    <row r="966" ht="15.75" customHeight="1">
      <c r="G966" s="44"/>
    </row>
    <row r="967" ht="15.75" customHeight="1">
      <c r="G967" s="44"/>
    </row>
    <row r="968" ht="15.75" customHeight="1">
      <c r="G968" s="44"/>
    </row>
    <row r="969" ht="15.75" customHeight="1">
      <c r="G969" s="44"/>
    </row>
    <row r="970" ht="15.75" customHeight="1">
      <c r="G970" s="44"/>
    </row>
    <row r="971" ht="15.75" customHeight="1">
      <c r="G971" s="44"/>
    </row>
    <row r="972" ht="15.75" customHeight="1">
      <c r="G972" s="44"/>
    </row>
    <row r="973" ht="15.75" customHeight="1">
      <c r="G973" s="44"/>
    </row>
    <row r="974" ht="15.75" customHeight="1">
      <c r="G974" s="44"/>
    </row>
    <row r="975" ht="15.75" customHeight="1">
      <c r="G975" s="44"/>
    </row>
    <row r="976" ht="15.75" customHeight="1">
      <c r="G976" s="44"/>
    </row>
    <row r="977" ht="15.75" customHeight="1">
      <c r="G977" s="44"/>
    </row>
    <row r="978" ht="15.75" customHeight="1">
      <c r="G978" s="44"/>
    </row>
    <row r="979" ht="15.75" customHeight="1">
      <c r="G979" s="44"/>
    </row>
    <row r="980" ht="15.75" customHeight="1">
      <c r="G980" s="44"/>
    </row>
    <row r="981" ht="15.75" customHeight="1">
      <c r="G981" s="44"/>
    </row>
    <row r="982" ht="15.75" customHeight="1">
      <c r="G982" s="44"/>
    </row>
    <row r="983" ht="15.75" customHeight="1">
      <c r="G983" s="44"/>
    </row>
    <row r="984" ht="15.75" customHeight="1">
      <c r="G984" s="44"/>
    </row>
    <row r="985" ht="15.75" customHeight="1">
      <c r="G985" s="44"/>
    </row>
    <row r="986" ht="15.75" customHeight="1">
      <c r="G986" s="44"/>
    </row>
    <row r="987" ht="15.75" customHeight="1">
      <c r="G987" s="44"/>
    </row>
    <row r="988" ht="15.75" customHeight="1">
      <c r="G988" s="44"/>
    </row>
    <row r="989" ht="15.75" customHeight="1">
      <c r="G989" s="44"/>
    </row>
    <row r="990" ht="15.75" customHeight="1">
      <c r="G990" s="44"/>
    </row>
    <row r="991" ht="15.75" customHeight="1">
      <c r="G991" s="44"/>
    </row>
    <row r="992" ht="15.75" customHeight="1">
      <c r="G992" s="44"/>
    </row>
    <row r="993" ht="15.75" customHeight="1">
      <c r="G993" s="44"/>
    </row>
    <row r="994" ht="15.75" customHeight="1">
      <c r="G994" s="44"/>
    </row>
    <row r="995" ht="15.75" customHeight="1">
      <c r="G995" s="44"/>
    </row>
    <row r="996" ht="15.75" customHeight="1">
      <c r="G996" s="44"/>
    </row>
    <row r="997" ht="15.75" customHeight="1">
      <c r="G997" s="44"/>
    </row>
    <row r="998" ht="15.75" customHeight="1">
      <c r="G998" s="44"/>
    </row>
    <row r="999" ht="15.75" customHeight="1">
      <c r="G999" s="44"/>
    </row>
    <row r="1000" ht="15.75" customHeight="1">
      <c r="G1000" s="44"/>
    </row>
  </sheetData>
  <printOptions/>
  <pageMargins bottom="0.787401575" footer="0.0" header="0.0" left="0.511811024" right="0.511811024" top="0.787401575"/>
  <pageSetup orientation="landscape"/>
  <drawing r:id="rId1"/>
</worksheet>
</file>